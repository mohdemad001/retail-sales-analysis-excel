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adr\Downloads\"/>
    </mc:Choice>
  </mc:AlternateContent>
  <xr:revisionPtr revIDLastSave="0" documentId="13_ncr:1_{19D67A92-0897-4412-8C2D-B7964CCB9493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Detail1" sheetId="3" r:id="rId1"/>
    <sheet name="Sheet1" sheetId="2" r:id="rId2"/>
    <sheet name="Retail_Sales_Data" sheetId="1" r:id="rId3"/>
  </sheet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9" i="1" l="1"/>
  <c r="J220" i="1"/>
  <c r="J221" i="1"/>
  <c r="J169" i="1"/>
  <c r="J138" i="1"/>
  <c r="J77" i="1"/>
  <c r="J215" i="1"/>
  <c r="J212" i="1"/>
  <c r="J213" i="1"/>
  <c r="J214" i="1"/>
  <c r="J157" i="1"/>
  <c r="J209" i="1"/>
  <c r="J210" i="1"/>
  <c r="J115" i="1"/>
  <c r="J207" i="1"/>
  <c r="J202" i="1"/>
  <c r="J203" i="1"/>
  <c r="J204" i="1"/>
  <c r="J205" i="1"/>
  <c r="J51" i="1"/>
  <c r="J199" i="1"/>
  <c r="J200" i="1"/>
  <c r="J201" i="1"/>
  <c r="J195" i="1"/>
  <c r="J196" i="1"/>
  <c r="J197" i="1"/>
  <c r="J198" i="1"/>
  <c r="J191" i="1"/>
  <c r="J192" i="1"/>
  <c r="J193" i="1"/>
  <c r="J28" i="1"/>
  <c r="J186" i="1"/>
  <c r="J187" i="1"/>
  <c r="J188" i="1"/>
  <c r="J189" i="1"/>
  <c r="J190" i="1"/>
  <c r="J25" i="1"/>
  <c r="J180" i="1"/>
  <c r="J181" i="1"/>
  <c r="J182" i="1"/>
  <c r="J183" i="1"/>
  <c r="J22" i="1"/>
  <c r="J178" i="1"/>
  <c r="J179" i="1"/>
  <c r="J173" i="1"/>
  <c r="J174" i="1"/>
  <c r="J23" i="1"/>
  <c r="J175" i="1"/>
  <c r="J176" i="1"/>
  <c r="J177" i="1"/>
  <c r="J170" i="1"/>
  <c r="J171" i="1"/>
  <c r="J139" i="1"/>
  <c r="J164" i="1"/>
  <c r="J165" i="1"/>
  <c r="J140" i="1"/>
  <c r="J166" i="1"/>
  <c r="J167" i="1"/>
  <c r="J158" i="1"/>
  <c r="J159" i="1"/>
  <c r="J160" i="1"/>
  <c r="J161" i="1"/>
  <c r="J162" i="1"/>
  <c r="J163" i="1"/>
  <c r="J141" i="1"/>
  <c r="J155" i="1"/>
  <c r="J156" i="1"/>
  <c r="J154" i="1"/>
  <c r="J126" i="1"/>
  <c r="J152" i="1"/>
  <c r="J116" i="1"/>
  <c r="J142" i="1"/>
  <c r="J143" i="1"/>
  <c r="J104" i="1"/>
  <c r="J144" i="1"/>
  <c r="J79" i="1"/>
  <c r="J145" i="1"/>
  <c r="J146" i="1"/>
  <c r="J147" i="1"/>
  <c r="J148" i="1"/>
  <c r="J149" i="1"/>
  <c r="J194" i="1"/>
  <c r="J150" i="1"/>
  <c r="J151" i="1"/>
  <c r="J168" i="1"/>
  <c r="J153" i="1"/>
  <c r="J133" i="1"/>
  <c r="J134" i="1"/>
  <c r="J135" i="1"/>
  <c r="J130" i="1"/>
  <c r="J131" i="1"/>
  <c r="J132" i="1"/>
  <c r="J127" i="1"/>
  <c r="J128" i="1"/>
  <c r="J136" i="1"/>
  <c r="J129" i="1"/>
  <c r="J124" i="1"/>
  <c r="J125" i="1"/>
  <c r="J137" i="1"/>
  <c r="J117" i="1"/>
  <c r="J97" i="1"/>
  <c r="J118" i="1"/>
  <c r="J119" i="1"/>
  <c r="J120" i="1"/>
  <c r="J98" i="1"/>
  <c r="J121" i="1"/>
  <c r="J122" i="1"/>
  <c r="J110" i="1"/>
  <c r="J111" i="1"/>
  <c r="J112" i="1"/>
  <c r="J113" i="1"/>
  <c r="J10" i="1"/>
  <c r="J184" i="1"/>
  <c r="J114" i="1"/>
  <c r="J105" i="1"/>
  <c r="J106" i="1"/>
  <c r="J107" i="1"/>
  <c r="J73" i="1"/>
  <c r="J216" i="1"/>
  <c r="J11" i="1"/>
  <c r="J99" i="1"/>
  <c r="J9" i="1"/>
  <c r="J3" i="1"/>
  <c r="J100" i="1"/>
  <c r="J101" i="1"/>
  <c r="J95" i="1"/>
  <c r="J96" i="1"/>
  <c r="J89" i="1"/>
  <c r="J90" i="1"/>
  <c r="J91" i="1"/>
  <c r="J92" i="1"/>
  <c r="J93" i="1"/>
  <c r="J94" i="1"/>
  <c r="J86" i="1"/>
  <c r="J87" i="1"/>
  <c r="J88" i="1"/>
  <c r="J80" i="1"/>
  <c r="J81" i="1"/>
  <c r="J82" i="1"/>
  <c r="J83" i="1"/>
  <c r="J217" i="1"/>
  <c r="J84" i="1"/>
  <c r="J85" i="1"/>
  <c r="J78" i="1"/>
  <c r="J218" i="1"/>
  <c r="J211" i="1"/>
  <c r="J74" i="1"/>
  <c r="J75" i="1"/>
  <c r="J76" i="1"/>
  <c r="J64" i="1"/>
  <c r="J208" i="1"/>
  <c r="J65" i="1"/>
  <c r="J66" i="1"/>
  <c r="J67" i="1"/>
  <c r="J68" i="1"/>
  <c r="J206" i="1"/>
  <c r="J69" i="1"/>
  <c r="J70" i="1"/>
  <c r="J61" i="1"/>
  <c r="J62" i="1"/>
  <c r="J63" i="1"/>
  <c r="J55" i="1"/>
  <c r="J185" i="1"/>
  <c r="J123" i="1"/>
  <c r="J56" i="1"/>
  <c r="J57" i="1"/>
  <c r="J58" i="1"/>
  <c r="J71" i="1"/>
  <c r="J52" i="1"/>
  <c r="J53" i="1"/>
  <c r="J54" i="1"/>
  <c r="J47" i="1"/>
  <c r="J102" i="1"/>
  <c r="J48" i="1"/>
  <c r="J15" i="1"/>
  <c r="J45" i="1"/>
  <c r="J72" i="1"/>
  <c r="J43" i="1"/>
  <c r="J44" i="1"/>
  <c r="J41" i="1"/>
  <c r="J42" i="1"/>
  <c r="J35" i="1"/>
  <c r="J172" i="1"/>
  <c r="J36" i="1"/>
  <c r="J37" i="1"/>
  <c r="J38" i="1"/>
  <c r="J108" i="1"/>
  <c r="J31" i="1"/>
  <c r="J32" i="1"/>
  <c r="J33" i="1"/>
  <c r="J34" i="1"/>
  <c r="J109" i="1"/>
  <c r="J29" i="1"/>
  <c r="J30" i="1"/>
  <c r="J27" i="1"/>
  <c r="J59" i="1"/>
  <c r="J26" i="1"/>
  <c r="J60" i="1"/>
  <c r="J24" i="1"/>
  <c r="J46" i="1"/>
  <c r="J19" i="1"/>
  <c r="J20" i="1"/>
  <c r="J21" i="1"/>
  <c r="J5" i="1"/>
  <c r="J103" i="1"/>
  <c r="J39" i="1"/>
  <c r="J49" i="1"/>
  <c r="J50" i="1"/>
  <c r="J16" i="1"/>
  <c r="J17" i="1"/>
  <c r="J12" i="1"/>
  <c r="J13" i="1"/>
  <c r="J6" i="1"/>
  <c r="J2" i="1"/>
  <c r="J18" i="1"/>
  <c r="J14" i="1"/>
  <c r="J40" i="1"/>
  <c r="J7" i="1"/>
  <c r="J8" i="1"/>
  <c r="J4" i="1"/>
  <c r="L4" i="1"/>
  <c r="L3" i="1"/>
  <c r="L2" i="1"/>
  <c r="L1" i="1"/>
</calcChain>
</file>

<file path=xl/sharedStrings.xml><?xml version="1.0" encoding="utf-8"?>
<sst xmlns="http://schemas.openxmlformats.org/spreadsheetml/2006/main" count="1253" uniqueCount="121">
  <si>
    <t>Date</t>
  </si>
  <si>
    <t>Order_ID</t>
  </si>
  <si>
    <t>Product</t>
  </si>
  <si>
    <t>Category</t>
  </si>
  <si>
    <t>Region</t>
  </si>
  <si>
    <t>Salesperson</t>
  </si>
  <si>
    <t>Units_Sold</t>
  </si>
  <si>
    <t>Unit_Price</t>
  </si>
  <si>
    <t>Revenue</t>
  </si>
  <si>
    <t>01-Mar-2025</t>
  </si>
  <si>
    <t>Desk</t>
  </si>
  <si>
    <t>Furniture</t>
  </si>
  <si>
    <t>West</t>
  </si>
  <si>
    <t>Olivia</t>
  </si>
  <si>
    <t>26-Mar-2025</t>
  </si>
  <si>
    <t>Headphones</t>
  </si>
  <si>
    <t>Electronics</t>
  </si>
  <si>
    <t>North</t>
  </si>
  <si>
    <t>Michael</t>
  </si>
  <si>
    <t>13-Jan-2025</t>
  </si>
  <si>
    <t>Monitor</t>
  </si>
  <si>
    <t>East</t>
  </si>
  <si>
    <t>Emma</t>
  </si>
  <si>
    <t>23-Feb-2025</t>
  </si>
  <si>
    <t>Laptop</t>
  </si>
  <si>
    <t>South</t>
  </si>
  <si>
    <t>John</t>
  </si>
  <si>
    <t>08-Feb-2025</t>
  </si>
  <si>
    <t>27-Feb-2025</t>
  </si>
  <si>
    <t>Bookshelf</t>
  </si>
  <si>
    <t>David</t>
  </si>
  <si>
    <t>26-Jan-2025</t>
  </si>
  <si>
    <t>Office Chair</t>
  </si>
  <si>
    <t>15-Jan-2025</t>
  </si>
  <si>
    <t>01-Feb-2025</t>
  </si>
  <si>
    <t>Keyboard</t>
  </si>
  <si>
    <t>Sarah</t>
  </si>
  <si>
    <t>28-Mar-2025</t>
  </si>
  <si>
    <t>23-Jan-2025</t>
  </si>
  <si>
    <t>22-Jan-2025</t>
  </si>
  <si>
    <t>14-Jan-2025</t>
  </si>
  <si>
    <t>19-Jan-2025</t>
  </si>
  <si>
    <t>17-Mar-2025</t>
  </si>
  <si>
    <t>20-Feb-2025</t>
  </si>
  <si>
    <t>Mouse</t>
  </si>
  <si>
    <t>05-Jan-2025</t>
  </si>
  <si>
    <t>12-Mar-2025</t>
  </si>
  <si>
    <t>26-Feb-2025</t>
  </si>
  <si>
    <t>24-Feb-2025</t>
  </si>
  <si>
    <t>Printer</t>
  </si>
  <si>
    <t>31-Jan-2025</t>
  </si>
  <si>
    <t>11-Mar-2025</t>
  </si>
  <si>
    <t>21-Jan-2025</t>
  </si>
  <si>
    <t>22-Feb-2025</t>
  </si>
  <si>
    <t>05-Feb-2025</t>
  </si>
  <si>
    <t>06-Mar-2025</t>
  </si>
  <si>
    <t>21-Mar-2025</t>
  </si>
  <si>
    <t>06-Feb-2025</t>
  </si>
  <si>
    <t>02-Mar-2025</t>
  </si>
  <si>
    <t>01-Jan-2025</t>
  </si>
  <si>
    <t>10-Mar-2025</t>
  </si>
  <si>
    <t>24-Mar-2025</t>
  </si>
  <si>
    <t>07-Feb-2025</t>
  </si>
  <si>
    <t>18-Jan-2025</t>
  </si>
  <si>
    <t>12-Jan-2025</t>
  </si>
  <si>
    <t>29-Jan-2025</t>
  </si>
  <si>
    <t>14-Feb-2025</t>
  </si>
  <si>
    <t>25-Mar-2025</t>
  </si>
  <si>
    <t>09-Feb-2025</t>
  </si>
  <si>
    <t>12-Feb-2025</t>
  </si>
  <si>
    <t>28-Jan-2025</t>
  </si>
  <si>
    <t>08-Jan-2025</t>
  </si>
  <si>
    <t>09-Mar-2025</t>
  </si>
  <si>
    <t>17-Feb-2025</t>
  </si>
  <si>
    <t>27-Mar-2025</t>
  </si>
  <si>
    <t>29-Mar-2025</t>
  </si>
  <si>
    <t>11-Jan-2025</t>
  </si>
  <si>
    <t>07-Jan-2025</t>
  </si>
  <si>
    <t>28-Feb-2025</t>
  </si>
  <si>
    <t>25-Jan-2025</t>
  </si>
  <si>
    <t>03-Jan-2025</t>
  </si>
  <si>
    <t>20-Jan-2025</t>
  </si>
  <si>
    <t>02-Jan-2025</t>
  </si>
  <si>
    <t>09-Jan-2025</t>
  </si>
  <si>
    <t>18-Feb-2025</t>
  </si>
  <si>
    <t>04-Jan-2025</t>
  </si>
  <si>
    <t>25-Feb-2025</t>
  </si>
  <si>
    <t>18-Mar-2025</t>
  </si>
  <si>
    <t>16-Mar-2025</t>
  </si>
  <si>
    <t>04-Feb-2025</t>
  </si>
  <si>
    <t>13-Mar-2025</t>
  </si>
  <si>
    <t>06-Jan-2025</t>
  </si>
  <si>
    <t>02-Feb-2025</t>
  </si>
  <si>
    <t>23-Mar-2025</t>
  </si>
  <si>
    <t>14-Mar-2025</t>
  </si>
  <si>
    <t>03-Feb-2025</t>
  </si>
  <si>
    <t>21-Feb-2025</t>
  </si>
  <si>
    <t>04-Mar-2025</t>
  </si>
  <si>
    <t>30-Mar-2025</t>
  </si>
  <si>
    <t>19-Feb-2025</t>
  </si>
  <si>
    <t>13-Feb-2025</t>
  </si>
  <si>
    <t>11-Feb-2025</t>
  </si>
  <si>
    <t>24-Jan-2025</t>
  </si>
  <si>
    <t>17-Jan-2025</t>
  </si>
  <si>
    <t>15-Feb-2025</t>
  </si>
  <si>
    <t>20-Mar-2025</t>
  </si>
  <si>
    <t>01-Apr-2025</t>
  </si>
  <si>
    <t>07-Mar-2025</t>
  </si>
  <si>
    <t>10-Feb-2025</t>
  </si>
  <si>
    <t>31-Mar-2025</t>
  </si>
  <si>
    <t>16-Jan-2025</t>
  </si>
  <si>
    <t>Total Revenue</t>
  </si>
  <si>
    <t>Average Price</t>
  </si>
  <si>
    <t>Highest Revenue</t>
  </si>
  <si>
    <t>Total Units Sold</t>
  </si>
  <si>
    <t>Profit</t>
  </si>
  <si>
    <t>Row Labels</t>
  </si>
  <si>
    <t>Grand Total</t>
  </si>
  <si>
    <t>Sum of Revenue</t>
  </si>
  <si>
    <t>Details for Sum of Revenue - Product: Laptop</t>
  </si>
  <si>
    <t>Sum of Revenue2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</si>
</sst>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[retail_sales_dataset.xlsx]Sheet1!PivotTable1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9"/>
                <c:pt idx="0">
                  <c:v>Bookshelf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Office Chair</c:v>
                </c:pt>
                <c:pt idx="8">
                  <c:v>Printer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9"/>
                <c:pt idx="0">
                  <c:v>22600</c:v>
                </c:pt>
                <c:pt idx="1">
                  <c:v>61200</c:v>
                </c:pt>
                <c:pt idx="2">
                  <c:v>23550</c:v>
                </c:pt>
                <c:pt idx="3">
                  <c:v>9870</c:v>
                </c:pt>
                <c:pt idx="4">
                  <c:v>134400</c:v>
                </c:pt>
                <c:pt idx="5">
                  <c:v>30250</c:v>
                </c:pt>
                <c:pt idx="6">
                  <c:v>3900</c:v>
                </c:pt>
                <c:pt idx="7">
                  <c:v>36000</c:v>
                </c:pt>
                <c:pt idx="8">
                  <c:v>45850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87B-4C76-AABC-88A6D6C089EF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Revenue2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9"/>
                <c:pt idx="0">
                  <c:v>Bookshelf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Office Chair</c:v>
                </c:pt>
                <c:pt idx="8">
                  <c:v>Printer</c:v>
                </c:pt>
              </c:strCache>
            </c:strRef>
          </c:cat>
          <c:val>
            <c:numRef>
              <c:f>Sheet1!$C$4:$C$13</c:f>
              <c:numCache>
                <c:formatCode>0.00%</c:formatCode>
                <c:ptCount val="9"/>
                <c:pt idx="0">
                  <c:v>6.1476524672215878E-2</c:v>
                </c:pt>
                <c:pt idx="1">
                  <c:v>0.16647625265219521</c:v>
                </c:pt>
                <c:pt idx="2">
                  <c:v>6.4060714868614324E-2</c:v>
                </c:pt>
                <c:pt idx="3">
                  <c:v>2.6848376040476581E-2</c:v>
                </c:pt>
                <c:pt idx="4">
                  <c:v>0.36559490778521297</c:v>
                </c:pt>
                <c:pt idx="5">
                  <c:v>8.2286056253740275E-2</c:v>
                </c:pt>
                <c:pt idx="6">
                  <c:v>1.0608780806267341E-2</c:v>
                </c:pt>
                <c:pt idx="7">
                  <c:v>9.7927207442467759E-2</c:v>
                </c:pt>
                <c:pt idx="8">
                  <c:v>0.12472117947880965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87B-4C76-AABC-88A6D6C08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4640384"/>
        <c:axId val="1784640864"/>
      </c:barChart>
      <c:catAx>
        <c:axId val="1784640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640864"/>
        <c:crosses val="autoZero"/>
        <c:auto val="1"/>
        <c:lblAlgn val="ctr"/>
        <c:lblOffset val="100"/>
        <c:noMultiLvlLbl val="0"/>
      </c:catAx>
      <c:valAx>
        <c:axId val="17846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64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13</xdr:row>
      <xdr:rowOff>137160</xdr:rowOff>
    </xdr:from>
    <xdr:to>
      <xdr:col>6</xdr:col>
      <xdr:colOff>274320</xdr:colOff>
      <xdr:row>25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504B5A-C1B3-A603-D4EE-88688A110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emad" refreshedDate="46109.565272800923" createdVersion="8" refreshedVersion="8" minRefreshableVersion="3" recordCount="220" xr:uid="{1697F9EA-3399-4CB9-A5AA-9635A55BF6C6}">
  <cacheSource type="worksheet">
    <worksheetSource name="Table1"/>
  </cacheSource>
  <cacheFields count="10">
    <cacheField name="Date" numFmtId="0">
      <sharedItems/>
    </cacheField>
    <cacheField name="Order_ID" numFmtId="0">
      <sharedItems containsSemiMixedTypes="0" containsString="0" containsNumber="1" containsInteger="1" minValue="1001" maxValue="1220"/>
    </cacheField>
    <cacheField name="Product" numFmtId="0">
      <sharedItems count="9">
        <s v="Laptop"/>
        <s v="Desk"/>
        <s v="Printer"/>
        <s v="Office Chair"/>
        <s v="Monitor"/>
        <s v="Bookshelf"/>
        <s v="Headphones"/>
        <s v="Keyboard"/>
        <s v="Mouse"/>
      </sharedItems>
    </cacheField>
    <cacheField name="Category" numFmtId="0">
      <sharedItems/>
    </cacheField>
    <cacheField name="Region" numFmtId="0">
      <sharedItems count="4">
        <s v="South"/>
        <s v="East"/>
        <s v="West"/>
        <s v="North"/>
      </sharedItems>
    </cacheField>
    <cacheField name="Salesperson" numFmtId="0">
      <sharedItems count="6">
        <s v="John"/>
        <s v="Michael"/>
        <s v="Sarah"/>
        <s v="David"/>
        <s v="Emma"/>
        <s v="Olivia"/>
      </sharedItems>
    </cacheField>
    <cacheField name="Units_Sold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25" maxValue="1200"/>
    </cacheField>
    <cacheField name="Revenue" numFmtId="0">
      <sharedItems containsSemiMixedTypes="0" containsString="0" containsNumber="1" containsInteger="1" minValue="25" maxValue="12000" count="58">
        <n v="12000"/>
        <n v="10800"/>
        <n v="9600"/>
        <n v="8400"/>
        <n v="7200"/>
        <n v="6000"/>
        <n v="4800"/>
        <n v="4500"/>
        <n v="4050"/>
        <n v="3600"/>
        <n v="3500"/>
        <n v="3150"/>
        <n v="3000"/>
        <n v="2800"/>
        <n v="2700"/>
        <n v="2500"/>
        <n v="2450"/>
        <n v="2400"/>
        <n v="2250"/>
        <n v="2100"/>
        <n v="2000"/>
        <n v="1800"/>
        <n v="1750"/>
        <n v="1600"/>
        <n v="1500"/>
        <n v="1400"/>
        <n v="1350"/>
        <n v="1250"/>
        <n v="1200"/>
        <n v="1050"/>
        <n v="1000"/>
        <n v="900"/>
        <n v="800"/>
        <n v="750"/>
        <n v="700"/>
        <n v="630"/>
        <n v="600"/>
        <n v="560"/>
        <n v="500"/>
        <n v="490"/>
        <n v="450"/>
        <n v="420"/>
        <n v="400"/>
        <n v="350"/>
        <n v="300"/>
        <n v="280"/>
        <n v="250"/>
        <n v="225"/>
        <n v="210"/>
        <n v="200"/>
        <n v="175"/>
        <n v="150"/>
        <n v="125"/>
        <n v="100"/>
        <n v="75"/>
        <n v="70"/>
        <n v="50"/>
        <n v="25"/>
      </sharedItems>
    </cacheField>
    <cacheField name="Profit" numFmtId="0">
      <sharedItems containsSemiMixedTypes="0" containsString="0" containsNumber="1" minValue="7.5" maxValue="3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s v="15-Jan-2025"/>
    <n v="1085"/>
    <x v="0"/>
    <s v="Electronics"/>
    <x v="0"/>
    <x v="0"/>
    <n v="10"/>
    <n v="1200"/>
    <x v="0"/>
    <n v="3600"/>
  </r>
  <r>
    <s v="21-Mar-2025"/>
    <n v="1147"/>
    <x v="0"/>
    <s v="Electronics"/>
    <x v="1"/>
    <x v="1"/>
    <n v="9"/>
    <n v="1200"/>
    <x v="1"/>
    <n v="3240"/>
  </r>
  <r>
    <s v="11-Jan-2025"/>
    <n v="1123"/>
    <x v="0"/>
    <s v="Electronics"/>
    <x v="2"/>
    <x v="1"/>
    <n v="9"/>
    <n v="1200"/>
    <x v="1"/>
    <n v="3240"/>
  </r>
  <r>
    <s v="30-Mar-2025"/>
    <n v="1153"/>
    <x v="0"/>
    <s v="Electronics"/>
    <x v="3"/>
    <x v="2"/>
    <n v="8"/>
    <n v="1200"/>
    <x v="2"/>
    <n v="2880"/>
  </r>
  <r>
    <s v="01-Mar-2025"/>
    <n v="1115"/>
    <x v="0"/>
    <s v="Electronics"/>
    <x v="0"/>
    <x v="1"/>
    <n v="7"/>
    <n v="1200"/>
    <x v="3"/>
    <n v="2520"/>
  </r>
  <r>
    <s v="19-Jan-2025"/>
    <n v="1014"/>
    <x v="0"/>
    <s v="Electronics"/>
    <x v="2"/>
    <x v="2"/>
    <n v="7"/>
    <n v="1200"/>
    <x v="3"/>
    <n v="2520"/>
  </r>
  <r>
    <s v="18-Jan-2025"/>
    <n v="1043"/>
    <x v="0"/>
    <s v="Electronics"/>
    <x v="2"/>
    <x v="0"/>
    <n v="7"/>
    <n v="1200"/>
    <x v="3"/>
    <n v="2520"/>
  </r>
  <r>
    <s v="26-Jan-2025"/>
    <n v="1183"/>
    <x v="0"/>
    <s v="Electronics"/>
    <x v="1"/>
    <x v="3"/>
    <n v="6"/>
    <n v="1200"/>
    <x v="4"/>
    <n v="2160"/>
  </r>
  <r>
    <s v="18-Mar-2025"/>
    <n v="1171"/>
    <x v="0"/>
    <s v="Electronics"/>
    <x v="1"/>
    <x v="0"/>
    <n v="5"/>
    <n v="1200"/>
    <x v="5"/>
    <n v="1800"/>
  </r>
  <r>
    <s v="20-Feb-2025"/>
    <n v="1176"/>
    <x v="0"/>
    <s v="Electronics"/>
    <x v="1"/>
    <x v="0"/>
    <n v="5"/>
    <n v="1200"/>
    <x v="5"/>
    <n v="1800"/>
  </r>
  <r>
    <s v="23-Feb-2025"/>
    <n v="1004"/>
    <x v="0"/>
    <s v="Electronics"/>
    <x v="0"/>
    <x v="0"/>
    <n v="5"/>
    <n v="1200"/>
    <x v="5"/>
    <n v="1800"/>
  </r>
  <r>
    <s v="11-Jan-2025"/>
    <n v="1212"/>
    <x v="0"/>
    <s v="Electronics"/>
    <x v="0"/>
    <x v="2"/>
    <n v="5"/>
    <n v="1200"/>
    <x v="5"/>
    <n v="1800"/>
  </r>
  <r>
    <s v="02-Mar-2025"/>
    <n v="1036"/>
    <x v="0"/>
    <s v="Electronics"/>
    <x v="2"/>
    <x v="4"/>
    <n v="5"/>
    <n v="1200"/>
    <x v="5"/>
    <n v="1800"/>
  </r>
  <r>
    <s v="17-Mar-2025"/>
    <n v="1170"/>
    <x v="0"/>
    <s v="Electronics"/>
    <x v="3"/>
    <x v="3"/>
    <n v="4"/>
    <n v="1200"/>
    <x v="6"/>
    <n v="1440"/>
  </r>
  <r>
    <s v="14-Jan-2025"/>
    <n v="1013"/>
    <x v="0"/>
    <s v="Electronics"/>
    <x v="0"/>
    <x v="3"/>
    <n v="4"/>
    <n v="1200"/>
    <x v="6"/>
    <n v="1440"/>
  </r>
  <r>
    <s v="20-Mar-2025"/>
    <n v="1178"/>
    <x v="0"/>
    <s v="Electronics"/>
    <x v="0"/>
    <x v="4"/>
    <n v="4"/>
    <n v="1200"/>
    <x v="6"/>
    <n v="1440"/>
  </r>
  <r>
    <s v="11-Jan-2025"/>
    <n v="1141"/>
    <x v="0"/>
    <s v="Electronics"/>
    <x v="2"/>
    <x v="2"/>
    <n v="4"/>
    <n v="1200"/>
    <x v="6"/>
    <n v="1440"/>
  </r>
  <r>
    <s v="02-Feb-2025"/>
    <n v="1099"/>
    <x v="1"/>
    <s v="Furniture"/>
    <x v="1"/>
    <x v="5"/>
    <n v="10"/>
    <n v="450"/>
    <x v="7"/>
    <n v="1350"/>
  </r>
  <r>
    <s v="15-Jan-2025"/>
    <n v="1110"/>
    <x v="1"/>
    <s v="Furniture"/>
    <x v="2"/>
    <x v="5"/>
    <n v="10"/>
    <n v="450"/>
    <x v="7"/>
    <n v="1350"/>
  </r>
  <r>
    <s v="30-Mar-2025"/>
    <n v="1218"/>
    <x v="1"/>
    <s v="Furniture"/>
    <x v="0"/>
    <x v="1"/>
    <n v="10"/>
    <n v="450"/>
    <x v="7"/>
    <n v="1350"/>
  </r>
  <r>
    <s v="22-Feb-2025"/>
    <n v="1028"/>
    <x v="1"/>
    <s v="Furniture"/>
    <x v="3"/>
    <x v="5"/>
    <n v="9"/>
    <n v="450"/>
    <x v="8"/>
    <n v="1215"/>
  </r>
  <r>
    <s v="23-Feb-2025"/>
    <n v="1201"/>
    <x v="1"/>
    <s v="Furniture"/>
    <x v="3"/>
    <x v="1"/>
    <n v="9"/>
    <n v="450"/>
    <x v="8"/>
    <n v="1215"/>
  </r>
  <r>
    <s v="06-Feb-2025"/>
    <n v="1168"/>
    <x v="1"/>
    <s v="Furniture"/>
    <x v="0"/>
    <x v="4"/>
    <n v="9"/>
    <n v="450"/>
    <x v="8"/>
    <n v="1215"/>
  </r>
  <r>
    <s v="14-Jan-2025"/>
    <n v="1174"/>
    <x v="1"/>
    <s v="Furniture"/>
    <x v="3"/>
    <x v="0"/>
    <n v="8"/>
    <n v="450"/>
    <x v="9"/>
    <n v="1080"/>
  </r>
  <r>
    <s v="01-Apr-2025"/>
    <n v="1202"/>
    <x v="1"/>
    <s v="Furniture"/>
    <x v="2"/>
    <x v="4"/>
    <n v="8"/>
    <n v="450"/>
    <x v="9"/>
    <n v="1080"/>
  </r>
  <r>
    <s v="19-Feb-2025"/>
    <n v="1133"/>
    <x v="2"/>
    <s v="Electronics"/>
    <x v="2"/>
    <x v="4"/>
    <n v="10"/>
    <n v="350"/>
    <x v="10"/>
    <n v="1050"/>
  </r>
  <r>
    <s v="09-Feb-2025"/>
    <n v="1059"/>
    <x v="1"/>
    <s v="Furniture"/>
    <x v="3"/>
    <x v="2"/>
    <n v="7"/>
    <n v="450"/>
    <x v="11"/>
    <n v="945"/>
  </r>
  <r>
    <s v="29-Mar-2025"/>
    <n v="1070"/>
    <x v="1"/>
    <s v="Furniture"/>
    <x v="2"/>
    <x v="3"/>
    <n v="7"/>
    <n v="450"/>
    <x v="11"/>
    <n v="945"/>
  </r>
  <r>
    <s v="30-Mar-2025"/>
    <n v="1127"/>
    <x v="2"/>
    <s v="Electronics"/>
    <x v="1"/>
    <x v="5"/>
    <n v="9"/>
    <n v="350"/>
    <x v="11"/>
    <n v="945"/>
  </r>
  <r>
    <s v="09-Jan-2025"/>
    <n v="1130"/>
    <x v="3"/>
    <s v="Furniture"/>
    <x v="0"/>
    <x v="4"/>
    <n v="10"/>
    <n v="300"/>
    <x v="12"/>
    <n v="900"/>
  </r>
  <r>
    <s v="09-Mar-2025"/>
    <n v="1146"/>
    <x v="3"/>
    <s v="Furniture"/>
    <x v="1"/>
    <x v="4"/>
    <n v="10"/>
    <n v="300"/>
    <x v="12"/>
    <n v="900"/>
  </r>
  <r>
    <s v="14-Feb-2025"/>
    <n v="1160"/>
    <x v="3"/>
    <s v="Furniture"/>
    <x v="1"/>
    <x v="5"/>
    <n v="10"/>
    <n v="300"/>
    <x v="12"/>
    <n v="900"/>
  </r>
  <r>
    <s v="10-Mar-2025"/>
    <n v="1164"/>
    <x v="3"/>
    <s v="Furniture"/>
    <x v="1"/>
    <x v="3"/>
    <n v="10"/>
    <n v="300"/>
    <x v="12"/>
    <n v="900"/>
  </r>
  <r>
    <s v="14-Feb-2025"/>
    <n v="1053"/>
    <x v="2"/>
    <s v="Electronics"/>
    <x v="1"/>
    <x v="1"/>
    <n v="8"/>
    <n v="350"/>
    <x v="13"/>
    <n v="840"/>
  </r>
  <r>
    <s v="01-Feb-2025"/>
    <n v="1103"/>
    <x v="2"/>
    <s v="Electronics"/>
    <x v="2"/>
    <x v="0"/>
    <n v="8"/>
    <n v="350"/>
    <x v="13"/>
    <n v="840"/>
  </r>
  <r>
    <s v="26-Feb-2025"/>
    <n v="1143"/>
    <x v="2"/>
    <s v="Electronics"/>
    <x v="0"/>
    <x v="5"/>
    <n v="8"/>
    <n v="350"/>
    <x v="13"/>
    <n v="840"/>
  </r>
  <r>
    <s v="25-Feb-2025"/>
    <n v="1172"/>
    <x v="2"/>
    <s v="Electronics"/>
    <x v="1"/>
    <x v="5"/>
    <n v="8"/>
    <n v="350"/>
    <x v="13"/>
    <n v="840"/>
  </r>
  <r>
    <s v="08-Jan-2025"/>
    <n v="1062"/>
    <x v="2"/>
    <s v="Electronics"/>
    <x v="3"/>
    <x v="0"/>
    <n v="8"/>
    <n v="350"/>
    <x v="13"/>
    <n v="840"/>
  </r>
  <r>
    <s v="16-Jan-2025"/>
    <n v="1217"/>
    <x v="2"/>
    <s v="Electronics"/>
    <x v="3"/>
    <x v="4"/>
    <n v="8"/>
    <n v="350"/>
    <x v="13"/>
    <n v="840"/>
  </r>
  <r>
    <s v="12-Mar-2025"/>
    <n v="1117"/>
    <x v="1"/>
    <s v="Furniture"/>
    <x v="2"/>
    <x v="5"/>
    <n v="6"/>
    <n v="450"/>
    <x v="14"/>
    <n v="810"/>
  </r>
  <r>
    <s v="06-Feb-2025"/>
    <n v="1182"/>
    <x v="1"/>
    <s v="Furniture"/>
    <x v="2"/>
    <x v="4"/>
    <n v="6"/>
    <n v="450"/>
    <x v="14"/>
    <n v="810"/>
  </r>
  <r>
    <s v="15-Jan-2025"/>
    <n v="1008"/>
    <x v="4"/>
    <s v="Electronics"/>
    <x v="2"/>
    <x v="5"/>
    <n v="10"/>
    <n v="250"/>
    <x v="15"/>
    <n v="750"/>
  </r>
  <r>
    <s v="22-Jan-2025"/>
    <n v="1012"/>
    <x v="4"/>
    <s v="Electronics"/>
    <x v="0"/>
    <x v="5"/>
    <n v="10"/>
    <n v="250"/>
    <x v="15"/>
    <n v="750"/>
  </r>
  <r>
    <s v="12-Mar-2025"/>
    <n v="1054"/>
    <x v="2"/>
    <s v="Electronics"/>
    <x v="2"/>
    <x v="5"/>
    <n v="7"/>
    <n v="350"/>
    <x v="16"/>
    <n v="735"/>
  </r>
  <r>
    <s v="03-Jan-2025"/>
    <n v="1079"/>
    <x v="2"/>
    <s v="Electronics"/>
    <x v="3"/>
    <x v="5"/>
    <n v="7"/>
    <n v="350"/>
    <x v="16"/>
    <n v="735"/>
  </r>
  <r>
    <s v="05-Jan-2025"/>
    <n v="1017"/>
    <x v="3"/>
    <s v="Furniture"/>
    <x v="1"/>
    <x v="2"/>
    <n v="8"/>
    <n v="300"/>
    <x v="17"/>
    <n v="720"/>
  </r>
  <r>
    <s v="01-Mar-2025"/>
    <n v="1112"/>
    <x v="3"/>
    <s v="Furniture"/>
    <x v="1"/>
    <x v="0"/>
    <n v="8"/>
    <n v="300"/>
    <x v="17"/>
    <n v="720"/>
  </r>
  <r>
    <s v="22-Jan-2025"/>
    <n v="1029"/>
    <x v="0"/>
    <s v="Electronics"/>
    <x v="0"/>
    <x v="2"/>
    <n v="2"/>
    <n v="1200"/>
    <x v="17"/>
    <n v="720"/>
  </r>
  <r>
    <s v="01-Feb-2025"/>
    <n v="1181"/>
    <x v="0"/>
    <s v="Electronics"/>
    <x v="0"/>
    <x v="4"/>
    <n v="2"/>
    <n v="1200"/>
    <x v="17"/>
    <n v="720"/>
  </r>
  <r>
    <s v="28-Jan-2025"/>
    <n v="1061"/>
    <x v="1"/>
    <s v="Furniture"/>
    <x v="3"/>
    <x v="2"/>
    <n v="5"/>
    <n v="450"/>
    <x v="18"/>
    <n v="675"/>
  </r>
  <r>
    <s v="18-Feb-2025"/>
    <n v="1089"/>
    <x v="4"/>
    <s v="Electronics"/>
    <x v="0"/>
    <x v="3"/>
    <n v="9"/>
    <n v="250"/>
    <x v="18"/>
    <n v="675"/>
  </r>
  <r>
    <s v="21-Feb-2025"/>
    <n v="1124"/>
    <x v="4"/>
    <s v="Electronics"/>
    <x v="1"/>
    <x v="4"/>
    <n v="9"/>
    <n v="250"/>
    <x v="18"/>
    <n v="675"/>
  </r>
  <r>
    <s v="18-Jan-2025"/>
    <n v="1162"/>
    <x v="1"/>
    <s v="Furniture"/>
    <x v="2"/>
    <x v="1"/>
    <n v="5"/>
    <n v="450"/>
    <x v="18"/>
    <n v="675"/>
  </r>
  <r>
    <s v="22-Feb-2025"/>
    <n v="1049"/>
    <x v="2"/>
    <s v="Electronics"/>
    <x v="2"/>
    <x v="5"/>
    <n v="6"/>
    <n v="350"/>
    <x v="19"/>
    <n v="630"/>
  </r>
  <r>
    <s v="13-Jan-2025"/>
    <n v="1140"/>
    <x v="3"/>
    <s v="Furniture"/>
    <x v="0"/>
    <x v="0"/>
    <n v="7"/>
    <n v="300"/>
    <x v="19"/>
    <n v="630"/>
  </r>
  <r>
    <s v="27-Mar-2025"/>
    <n v="1199"/>
    <x v="2"/>
    <s v="Electronics"/>
    <x v="1"/>
    <x v="1"/>
    <n v="6"/>
    <n v="350"/>
    <x v="19"/>
    <n v="630"/>
  </r>
  <r>
    <s v="02-Mar-2025"/>
    <n v="1205"/>
    <x v="2"/>
    <s v="Electronics"/>
    <x v="2"/>
    <x v="4"/>
    <n v="6"/>
    <n v="350"/>
    <x v="19"/>
    <n v="630"/>
  </r>
  <r>
    <s v="26-Feb-2025"/>
    <n v="1050"/>
    <x v="2"/>
    <s v="Electronics"/>
    <x v="3"/>
    <x v="2"/>
    <n v="6"/>
    <n v="350"/>
    <x v="19"/>
    <n v="630"/>
  </r>
  <r>
    <s v="28-Feb-2025"/>
    <n v="1105"/>
    <x v="2"/>
    <s v="Electronics"/>
    <x v="3"/>
    <x v="3"/>
    <n v="6"/>
    <n v="350"/>
    <x v="19"/>
    <n v="630"/>
  </r>
  <r>
    <s v="27-Feb-2025"/>
    <n v="1006"/>
    <x v="5"/>
    <s v="Furniture"/>
    <x v="0"/>
    <x v="3"/>
    <n v="10"/>
    <n v="200"/>
    <x v="20"/>
    <n v="600"/>
  </r>
  <r>
    <s v="13-Feb-2025"/>
    <n v="1135"/>
    <x v="4"/>
    <s v="Electronics"/>
    <x v="2"/>
    <x v="3"/>
    <n v="8"/>
    <n v="250"/>
    <x v="20"/>
    <n v="600"/>
  </r>
  <r>
    <s v="10-Mar-2025"/>
    <n v="1210"/>
    <x v="4"/>
    <s v="Electronics"/>
    <x v="0"/>
    <x v="1"/>
    <n v="8"/>
    <n v="250"/>
    <x v="20"/>
    <n v="600"/>
  </r>
  <r>
    <s v="28-Mar-2025"/>
    <n v="1010"/>
    <x v="3"/>
    <s v="Furniture"/>
    <x v="0"/>
    <x v="0"/>
    <n v="6"/>
    <n v="300"/>
    <x v="21"/>
    <n v="540"/>
  </r>
  <r>
    <s v="06-Feb-2025"/>
    <n v="1035"/>
    <x v="5"/>
    <s v="Furniture"/>
    <x v="0"/>
    <x v="3"/>
    <n v="9"/>
    <n v="200"/>
    <x v="21"/>
    <n v="540"/>
  </r>
  <r>
    <s v="12-Jan-2025"/>
    <n v="1045"/>
    <x v="1"/>
    <s v="Furniture"/>
    <x v="1"/>
    <x v="0"/>
    <n v="4"/>
    <n v="450"/>
    <x v="21"/>
    <n v="540"/>
  </r>
  <r>
    <s v="13-Mar-2025"/>
    <n v="1097"/>
    <x v="5"/>
    <s v="Furniture"/>
    <x v="0"/>
    <x v="0"/>
    <n v="9"/>
    <n v="200"/>
    <x v="21"/>
    <n v="540"/>
  </r>
  <r>
    <s v="23-Mar-2025"/>
    <n v="1101"/>
    <x v="5"/>
    <s v="Furniture"/>
    <x v="0"/>
    <x v="3"/>
    <n v="9"/>
    <n v="200"/>
    <x v="21"/>
    <n v="540"/>
  </r>
  <r>
    <s v="18-Feb-2025"/>
    <n v="1139"/>
    <x v="1"/>
    <s v="Furniture"/>
    <x v="2"/>
    <x v="3"/>
    <n v="4"/>
    <n v="450"/>
    <x v="21"/>
    <n v="540"/>
  </r>
  <r>
    <s v="10-Mar-2025"/>
    <n v="1169"/>
    <x v="5"/>
    <s v="Furniture"/>
    <x v="0"/>
    <x v="1"/>
    <n v="9"/>
    <n v="200"/>
    <x v="21"/>
    <n v="540"/>
  </r>
  <r>
    <s v="01-Mar-2025"/>
    <n v="1019"/>
    <x v="3"/>
    <s v="Furniture"/>
    <x v="3"/>
    <x v="1"/>
    <n v="6"/>
    <n v="300"/>
    <x v="21"/>
    <n v="540"/>
  </r>
  <r>
    <s v="03-Feb-2025"/>
    <n v="1111"/>
    <x v="3"/>
    <s v="Furniture"/>
    <x v="3"/>
    <x v="1"/>
    <n v="6"/>
    <n v="300"/>
    <x v="21"/>
    <n v="540"/>
  </r>
  <r>
    <s v="12-Mar-2025"/>
    <n v="1020"/>
    <x v="4"/>
    <s v="Electronics"/>
    <x v="3"/>
    <x v="2"/>
    <n v="7"/>
    <n v="250"/>
    <x v="22"/>
    <n v="525"/>
  </r>
  <r>
    <s v="28-Feb-2025"/>
    <n v="1076"/>
    <x v="4"/>
    <s v="Electronics"/>
    <x v="0"/>
    <x v="2"/>
    <n v="7"/>
    <n v="250"/>
    <x v="22"/>
    <n v="525"/>
  </r>
  <r>
    <s v="16-Mar-2025"/>
    <n v="1151"/>
    <x v="2"/>
    <s v="Electronics"/>
    <x v="2"/>
    <x v="3"/>
    <n v="5"/>
    <n v="350"/>
    <x v="22"/>
    <n v="525"/>
  </r>
  <r>
    <s v="17-Jan-2025"/>
    <n v="1165"/>
    <x v="4"/>
    <s v="Electronics"/>
    <x v="0"/>
    <x v="4"/>
    <n v="7"/>
    <n v="250"/>
    <x v="22"/>
    <n v="525"/>
  </r>
  <r>
    <s v="06-Jan-2025"/>
    <n v="1155"/>
    <x v="5"/>
    <s v="Furniture"/>
    <x v="3"/>
    <x v="5"/>
    <n v="8"/>
    <n v="200"/>
    <x v="23"/>
    <n v="480"/>
  </r>
  <r>
    <s v="24-Mar-2025"/>
    <n v="1069"/>
    <x v="5"/>
    <s v="Furniture"/>
    <x v="1"/>
    <x v="3"/>
    <n v="8"/>
    <n v="200"/>
    <x v="23"/>
    <n v="480"/>
  </r>
  <r>
    <s v="14-Mar-2025"/>
    <n v="1108"/>
    <x v="6"/>
    <s v="Electronics"/>
    <x v="3"/>
    <x v="2"/>
    <n v="10"/>
    <n v="150"/>
    <x v="24"/>
    <n v="450"/>
  </r>
  <r>
    <s v="13-Jan-2025"/>
    <n v="1003"/>
    <x v="4"/>
    <s v="Electronics"/>
    <x v="1"/>
    <x v="4"/>
    <n v="6"/>
    <n v="250"/>
    <x v="24"/>
    <n v="450"/>
  </r>
  <r>
    <s v="26-Jan-2025"/>
    <n v="1007"/>
    <x v="3"/>
    <s v="Furniture"/>
    <x v="0"/>
    <x v="0"/>
    <n v="5"/>
    <n v="300"/>
    <x v="24"/>
    <n v="450"/>
  </r>
  <r>
    <s v="06-Mar-2025"/>
    <n v="1033"/>
    <x v="3"/>
    <s v="Furniture"/>
    <x v="0"/>
    <x v="0"/>
    <n v="5"/>
    <n v="300"/>
    <x v="24"/>
    <n v="450"/>
  </r>
  <r>
    <s v="25-Mar-2025"/>
    <n v="1066"/>
    <x v="6"/>
    <s v="Electronics"/>
    <x v="2"/>
    <x v="1"/>
    <n v="10"/>
    <n v="150"/>
    <x v="24"/>
    <n v="450"/>
  </r>
  <r>
    <s v="21-Mar-2025"/>
    <n v="1114"/>
    <x v="4"/>
    <s v="Electronics"/>
    <x v="0"/>
    <x v="5"/>
    <n v="6"/>
    <n v="250"/>
    <x v="24"/>
    <n v="450"/>
  </r>
  <r>
    <s v="04-Mar-2025"/>
    <n v="1126"/>
    <x v="3"/>
    <s v="Furniture"/>
    <x v="1"/>
    <x v="2"/>
    <n v="5"/>
    <n v="300"/>
    <x v="24"/>
    <n v="450"/>
  </r>
  <r>
    <s v="31-Jan-2025"/>
    <n v="1063"/>
    <x v="5"/>
    <s v="Furniture"/>
    <x v="2"/>
    <x v="2"/>
    <n v="7"/>
    <n v="200"/>
    <x v="25"/>
    <n v="420"/>
  </r>
  <r>
    <s v="15-Feb-2025"/>
    <n v="1175"/>
    <x v="5"/>
    <s v="Furniture"/>
    <x v="1"/>
    <x v="5"/>
    <n v="7"/>
    <n v="200"/>
    <x v="25"/>
    <n v="420"/>
  </r>
  <r>
    <s v="18-Jan-2025"/>
    <n v="1219"/>
    <x v="5"/>
    <s v="Furniture"/>
    <x v="2"/>
    <x v="3"/>
    <n v="7"/>
    <n v="200"/>
    <x v="25"/>
    <n v="420"/>
  </r>
  <r>
    <s v="01-Mar-2025"/>
    <n v="1001"/>
    <x v="1"/>
    <s v="Furniture"/>
    <x v="2"/>
    <x v="5"/>
    <n v="3"/>
    <n v="450"/>
    <x v="26"/>
    <n v="405"/>
  </r>
  <r>
    <s v="11-Mar-2025"/>
    <n v="1026"/>
    <x v="6"/>
    <s v="Electronics"/>
    <x v="2"/>
    <x v="3"/>
    <n v="9"/>
    <n v="150"/>
    <x v="26"/>
    <n v="405"/>
  </r>
  <r>
    <s v="01-Feb-2025"/>
    <n v="1030"/>
    <x v="6"/>
    <s v="Electronics"/>
    <x v="0"/>
    <x v="1"/>
    <n v="9"/>
    <n v="150"/>
    <x v="26"/>
    <n v="405"/>
  </r>
  <r>
    <s v="05-Feb-2025"/>
    <n v="1051"/>
    <x v="1"/>
    <s v="Furniture"/>
    <x v="1"/>
    <x v="3"/>
    <n v="3"/>
    <n v="450"/>
    <x v="26"/>
    <n v="405"/>
  </r>
  <r>
    <s v="04-Jan-2025"/>
    <n v="1090"/>
    <x v="6"/>
    <s v="Electronics"/>
    <x v="0"/>
    <x v="2"/>
    <n v="9"/>
    <n v="150"/>
    <x v="26"/>
    <n v="405"/>
  </r>
  <r>
    <s v="06-Mar-2025"/>
    <n v="1188"/>
    <x v="6"/>
    <s v="Electronics"/>
    <x v="1"/>
    <x v="1"/>
    <n v="9"/>
    <n v="150"/>
    <x v="26"/>
    <n v="405"/>
  </r>
  <r>
    <s v="21-Mar-2025"/>
    <n v="1034"/>
    <x v="4"/>
    <s v="Electronics"/>
    <x v="1"/>
    <x v="0"/>
    <n v="5"/>
    <n v="250"/>
    <x v="27"/>
    <n v="375"/>
  </r>
  <r>
    <s v="23-Mar-2025"/>
    <n v="1107"/>
    <x v="4"/>
    <s v="Electronics"/>
    <x v="1"/>
    <x v="4"/>
    <n v="5"/>
    <n v="250"/>
    <x v="27"/>
    <n v="375"/>
  </r>
  <r>
    <s v="17-Mar-2025"/>
    <n v="1015"/>
    <x v="0"/>
    <s v="Electronics"/>
    <x v="1"/>
    <x v="3"/>
    <n v="1"/>
    <n v="1200"/>
    <x v="28"/>
    <n v="360"/>
  </r>
  <r>
    <s v="21-Jan-2025"/>
    <n v="1046"/>
    <x v="0"/>
    <s v="Electronics"/>
    <x v="1"/>
    <x v="3"/>
    <n v="1"/>
    <n v="1200"/>
    <x v="28"/>
    <n v="360"/>
  </r>
  <r>
    <s v="20-Feb-2025"/>
    <n v="1018"/>
    <x v="6"/>
    <s v="Electronics"/>
    <x v="0"/>
    <x v="0"/>
    <n v="8"/>
    <n v="150"/>
    <x v="28"/>
    <n v="360"/>
  </r>
  <r>
    <s v="23-Jan-2025"/>
    <n v="1102"/>
    <x v="3"/>
    <s v="Furniture"/>
    <x v="1"/>
    <x v="3"/>
    <n v="4"/>
    <n v="300"/>
    <x v="28"/>
    <n v="360"/>
  </r>
  <r>
    <s v="06-Mar-2025"/>
    <n v="1152"/>
    <x v="3"/>
    <s v="Furniture"/>
    <x v="1"/>
    <x v="0"/>
    <n v="4"/>
    <n v="300"/>
    <x v="28"/>
    <n v="360"/>
  </r>
  <r>
    <s v="23-Jan-2025"/>
    <n v="1011"/>
    <x v="0"/>
    <s v="Electronics"/>
    <x v="3"/>
    <x v="0"/>
    <n v="1"/>
    <n v="1200"/>
    <x v="28"/>
    <n v="360"/>
  </r>
  <r>
    <s v="28-Jan-2025"/>
    <n v="1075"/>
    <x v="0"/>
    <s v="Electronics"/>
    <x v="0"/>
    <x v="5"/>
    <n v="1"/>
    <n v="1200"/>
    <x v="28"/>
    <n v="360"/>
  </r>
  <r>
    <s v="24-Mar-2025"/>
    <n v="1039"/>
    <x v="6"/>
    <s v="Electronics"/>
    <x v="3"/>
    <x v="4"/>
    <n v="7"/>
    <n v="150"/>
    <x v="29"/>
    <n v="315"/>
  </r>
  <r>
    <s v="26-Jan-2025"/>
    <n v="1067"/>
    <x v="6"/>
    <s v="Electronics"/>
    <x v="0"/>
    <x v="4"/>
    <n v="7"/>
    <n v="150"/>
    <x v="29"/>
    <n v="315"/>
  </r>
  <r>
    <s v="19-Jan-2025"/>
    <n v="1122"/>
    <x v="6"/>
    <s v="Electronics"/>
    <x v="2"/>
    <x v="0"/>
    <n v="7"/>
    <n v="150"/>
    <x v="29"/>
    <n v="315"/>
  </r>
  <r>
    <s v="28-Jan-2025"/>
    <n v="1142"/>
    <x v="2"/>
    <s v="Electronics"/>
    <x v="1"/>
    <x v="5"/>
    <n v="3"/>
    <n v="350"/>
    <x v="29"/>
    <n v="315"/>
  </r>
  <r>
    <s v="23-Jan-2025"/>
    <n v="1024"/>
    <x v="2"/>
    <s v="Electronics"/>
    <x v="3"/>
    <x v="1"/>
    <n v="3"/>
    <n v="350"/>
    <x v="29"/>
    <n v="315"/>
  </r>
  <r>
    <s v="03-Feb-2025"/>
    <n v="1177"/>
    <x v="2"/>
    <s v="Electronics"/>
    <x v="3"/>
    <x v="2"/>
    <n v="3"/>
    <n v="350"/>
    <x v="29"/>
    <n v="315"/>
  </r>
  <r>
    <s v="26-Jan-2025"/>
    <n v="1041"/>
    <x v="4"/>
    <s v="Electronics"/>
    <x v="0"/>
    <x v="2"/>
    <n v="4"/>
    <n v="250"/>
    <x v="30"/>
    <n v="300"/>
  </r>
  <r>
    <s v="01-Mar-2025"/>
    <n v="1042"/>
    <x v="5"/>
    <s v="Furniture"/>
    <x v="1"/>
    <x v="4"/>
    <n v="5"/>
    <n v="200"/>
    <x v="30"/>
    <n v="300"/>
  </r>
  <r>
    <s v="17-Mar-2025"/>
    <n v="1052"/>
    <x v="4"/>
    <s v="Electronics"/>
    <x v="2"/>
    <x v="0"/>
    <n v="4"/>
    <n v="250"/>
    <x v="30"/>
    <n v="300"/>
  </r>
  <r>
    <s v="04-Feb-2025"/>
    <n v="1095"/>
    <x v="5"/>
    <s v="Furniture"/>
    <x v="0"/>
    <x v="2"/>
    <n v="5"/>
    <n v="200"/>
    <x v="30"/>
    <n v="300"/>
  </r>
  <r>
    <s v="28-Feb-2025"/>
    <n v="1132"/>
    <x v="4"/>
    <s v="Electronics"/>
    <x v="3"/>
    <x v="1"/>
    <n v="4"/>
    <n v="250"/>
    <x v="30"/>
    <n v="300"/>
  </r>
  <r>
    <s v="28-Mar-2025"/>
    <n v="1091"/>
    <x v="1"/>
    <s v="Furniture"/>
    <x v="3"/>
    <x v="1"/>
    <n v="2"/>
    <n v="450"/>
    <x v="31"/>
    <n v="270"/>
  </r>
  <r>
    <s v="21-Feb-2025"/>
    <n v="1159"/>
    <x v="6"/>
    <s v="Electronics"/>
    <x v="3"/>
    <x v="0"/>
    <n v="6"/>
    <n v="150"/>
    <x v="31"/>
    <n v="270"/>
  </r>
  <r>
    <s v="20-Jan-2025"/>
    <n v="1080"/>
    <x v="3"/>
    <s v="Furniture"/>
    <x v="2"/>
    <x v="1"/>
    <n v="3"/>
    <n v="300"/>
    <x v="31"/>
    <n v="270"/>
  </r>
  <r>
    <s v="05-Feb-2025"/>
    <n v="1129"/>
    <x v="1"/>
    <s v="Furniture"/>
    <x v="0"/>
    <x v="5"/>
    <n v="2"/>
    <n v="450"/>
    <x v="31"/>
    <n v="270"/>
  </r>
  <r>
    <s v="11-Feb-2025"/>
    <n v="1136"/>
    <x v="3"/>
    <s v="Furniture"/>
    <x v="2"/>
    <x v="0"/>
    <n v="3"/>
    <n v="300"/>
    <x v="31"/>
    <n v="270"/>
  </r>
  <r>
    <s v="14-Jan-2025"/>
    <n v="1157"/>
    <x v="3"/>
    <s v="Furniture"/>
    <x v="1"/>
    <x v="1"/>
    <n v="3"/>
    <n v="300"/>
    <x v="31"/>
    <n v="270"/>
  </r>
  <r>
    <s v="20-Feb-2025"/>
    <n v="1197"/>
    <x v="1"/>
    <s v="Furniture"/>
    <x v="0"/>
    <x v="3"/>
    <n v="2"/>
    <n v="450"/>
    <x v="31"/>
    <n v="270"/>
  </r>
  <r>
    <s v="15-Jan-2025"/>
    <n v="1211"/>
    <x v="1"/>
    <s v="Furniture"/>
    <x v="1"/>
    <x v="3"/>
    <n v="2"/>
    <n v="450"/>
    <x v="31"/>
    <n v="270"/>
  </r>
  <r>
    <s v="25-Jan-2025"/>
    <n v="1077"/>
    <x v="3"/>
    <s v="Furniture"/>
    <x v="3"/>
    <x v="1"/>
    <n v="3"/>
    <n v="300"/>
    <x v="31"/>
    <n v="270"/>
  </r>
  <r>
    <s v="23-Feb-2025"/>
    <n v="1119"/>
    <x v="5"/>
    <s v="Furniture"/>
    <x v="1"/>
    <x v="1"/>
    <n v="4"/>
    <n v="200"/>
    <x v="32"/>
    <n v="240"/>
  </r>
  <r>
    <s v="17-Feb-2025"/>
    <n v="1213"/>
    <x v="5"/>
    <s v="Furniture"/>
    <x v="2"/>
    <x v="4"/>
    <n v="4"/>
    <n v="200"/>
    <x v="32"/>
    <n v="240"/>
  </r>
  <r>
    <s v="04-Jan-2025"/>
    <n v="1149"/>
    <x v="6"/>
    <s v="Electronics"/>
    <x v="3"/>
    <x v="2"/>
    <n v="5"/>
    <n v="150"/>
    <x v="33"/>
    <n v="225"/>
  </r>
  <r>
    <s v="24-Feb-2025"/>
    <n v="1082"/>
    <x v="6"/>
    <s v="Electronics"/>
    <x v="1"/>
    <x v="3"/>
    <n v="5"/>
    <n v="150"/>
    <x v="33"/>
    <n v="225"/>
  </r>
  <r>
    <s v="07-Jan-2025"/>
    <n v="1116"/>
    <x v="4"/>
    <s v="Electronics"/>
    <x v="1"/>
    <x v="2"/>
    <n v="3"/>
    <n v="250"/>
    <x v="33"/>
    <n v="225"/>
  </r>
  <r>
    <s v="04-Jan-2025"/>
    <n v="1206"/>
    <x v="4"/>
    <s v="Electronics"/>
    <x v="0"/>
    <x v="3"/>
    <n v="3"/>
    <n v="250"/>
    <x v="33"/>
    <n v="225"/>
  </r>
  <r>
    <s v="28-Mar-2025"/>
    <n v="1145"/>
    <x v="7"/>
    <s v="Electronics"/>
    <x v="2"/>
    <x v="2"/>
    <n v="10"/>
    <n v="70"/>
    <x v="34"/>
    <n v="210"/>
  </r>
  <r>
    <s v="16-Mar-2025"/>
    <n v="1173"/>
    <x v="2"/>
    <s v="Electronics"/>
    <x v="0"/>
    <x v="5"/>
    <n v="2"/>
    <n v="350"/>
    <x v="34"/>
    <n v="210"/>
  </r>
  <r>
    <s v="20-Jan-2025"/>
    <n v="1209"/>
    <x v="2"/>
    <s v="Electronics"/>
    <x v="1"/>
    <x v="4"/>
    <n v="2"/>
    <n v="350"/>
    <x v="34"/>
    <n v="210"/>
  </r>
  <r>
    <s v="26-Feb-2025"/>
    <n v="1021"/>
    <x v="7"/>
    <s v="Electronics"/>
    <x v="3"/>
    <x v="4"/>
    <n v="9"/>
    <n v="70"/>
    <x v="35"/>
    <n v="189"/>
  </r>
  <r>
    <s v="21-Feb-2025"/>
    <n v="1125"/>
    <x v="7"/>
    <s v="Electronics"/>
    <x v="2"/>
    <x v="5"/>
    <n v="9"/>
    <n v="70"/>
    <x v="35"/>
    <n v="189"/>
  </r>
  <r>
    <s v="01-Apr-2025"/>
    <n v="1196"/>
    <x v="7"/>
    <s v="Electronics"/>
    <x v="0"/>
    <x v="5"/>
    <n v="9"/>
    <n v="70"/>
    <x v="35"/>
    <n v="189"/>
  </r>
  <r>
    <s v="17-Feb-2025"/>
    <n v="1065"/>
    <x v="7"/>
    <s v="Electronics"/>
    <x v="3"/>
    <x v="2"/>
    <n v="9"/>
    <n v="70"/>
    <x v="35"/>
    <n v="189"/>
  </r>
  <r>
    <s v="14-Feb-2025"/>
    <n v="1118"/>
    <x v="7"/>
    <s v="Electronics"/>
    <x v="3"/>
    <x v="2"/>
    <n v="9"/>
    <n v="70"/>
    <x v="35"/>
    <n v="189"/>
  </r>
  <r>
    <s v="04-Jan-2025"/>
    <n v="1192"/>
    <x v="5"/>
    <s v="Furniture"/>
    <x v="3"/>
    <x v="1"/>
    <n v="3"/>
    <n v="200"/>
    <x v="36"/>
    <n v="180"/>
  </r>
  <r>
    <s v="26-Mar-2025"/>
    <n v="1002"/>
    <x v="6"/>
    <s v="Electronics"/>
    <x v="3"/>
    <x v="1"/>
    <n v="4"/>
    <n v="150"/>
    <x v="36"/>
    <n v="180"/>
  </r>
  <r>
    <s v="29-Jan-2025"/>
    <n v="1047"/>
    <x v="6"/>
    <s v="Electronics"/>
    <x v="3"/>
    <x v="3"/>
    <n v="4"/>
    <n v="150"/>
    <x v="36"/>
    <n v="180"/>
  </r>
  <r>
    <s v="09-Mar-2025"/>
    <n v="1087"/>
    <x v="6"/>
    <s v="Electronics"/>
    <x v="3"/>
    <x v="2"/>
    <n v="4"/>
    <n v="150"/>
    <x v="36"/>
    <n v="180"/>
  </r>
  <r>
    <s v="08-Feb-2025"/>
    <n v="1005"/>
    <x v="6"/>
    <s v="Electronics"/>
    <x v="0"/>
    <x v="5"/>
    <n v="4"/>
    <n v="150"/>
    <x v="36"/>
    <n v="180"/>
  </r>
  <r>
    <s v="24-Feb-2025"/>
    <n v="1023"/>
    <x v="6"/>
    <s v="Electronics"/>
    <x v="1"/>
    <x v="0"/>
    <n v="4"/>
    <n v="150"/>
    <x v="36"/>
    <n v="180"/>
  </r>
  <r>
    <s v="10-Mar-2025"/>
    <n v="1073"/>
    <x v="6"/>
    <s v="Electronics"/>
    <x v="0"/>
    <x v="4"/>
    <n v="4"/>
    <n v="150"/>
    <x v="36"/>
    <n v="180"/>
  </r>
  <r>
    <s v="13-Mar-2025"/>
    <n v="1131"/>
    <x v="6"/>
    <s v="Electronics"/>
    <x v="1"/>
    <x v="1"/>
    <n v="4"/>
    <n v="150"/>
    <x v="36"/>
    <n v="180"/>
  </r>
  <r>
    <s v="26-Jan-2025"/>
    <n v="1144"/>
    <x v="6"/>
    <s v="Electronics"/>
    <x v="2"/>
    <x v="3"/>
    <n v="4"/>
    <n v="150"/>
    <x v="36"/>
    <n v="180"/>
  </r>
  <r>
    <s v="13-Jan-2025"/>
    <n v="1158"/>
    <x v="6"/>
    <s v="Electronics"/>
    <x v="1"/>
    <x v="2"/>
    <n v="4"/>
    <n v="150"/>
    <x v="36"/>
    <n v="180"/>
  </r>
  <r>
    <s v="02-Jan-2025"/>
    <n v="1166"/>
    <x v="6"/>
    <s v="Electronics"/>
    <x v="2"/>
    <x v="4"/>
    <n v="4"/>
    <n v="150"/>
    <x v="36"/>
    <n v="180"/>
  </r>
  <r>
    <s v="07-Jan-2025"/>
    <n v="1179"/>
    <x v="5"/>
    <s v="Furniture"/>
    <x v="2"/>
    <x v="1"/>
    <n v="3"/>
    <n v="200"/>
    <x v="36"/>
    <n v="180"/>
  </r>
  <r>
    <s v="05-Jan-2025"/>
    <n v="1200"/>
    <x v="5"/>
    <s v="Furniture"/>
    <x v="1"/>
    <x v="1"/>
    <n v="3"/>
    <n v="200"/>
    <x v="36"/>
    <n v="180"/>
  </r>
  <r>
    <s v="17-Jan-2025"/>
    <n v="1216"/>
    <x v="3"/>
    <s v="Furniture"/>
    <x v="0"/>
    <x v="4"/>
    <n v="2"/>
    <n v="300"/>
    <x v="36"/>
    <n v="180"/>
  </r>
  <r>
    <s v="06-Feb-2025"/>
    <n v="1195"/>
    <x v="7"/>
    <s v="Electronics"/>
    <x v="1"/>
    <x v="0"/>
    <n v="8"/>
    <n v="70"/>
    <x v="37"/>
    <n v="168"/>
  </r>
  <r>
    <s v="19-Jan-2025"/>
    <n v="1058"/>
    <x v="7"/>
    <s v="Electronics"/>
    <x v="3"/>
    <x v="3"/>
    <n v="8"/>
    <n v="70"/>
    <x v="37"/>
    <n v="168"/>
  </r>
  <r>
    <s v="13-Jan-2025"/>
    <n v="1137"/>
    <x v="4"/>
    <s v="Electronics"/>
    <x v="0"/>
    <x v="4"/>
    <n v="2"/>
    <n v="250"/>
    <x v="38"/>
    <n v="150"/>
  </r>
  <r>
    <s v="30-Mar-2025"/>
    <n v="1156"/>
    <x v="7"/>
    <s v="Electronics"/>
    <x v="1"/>
    <x v="3"/>
    <n v="7"/>
    <n v="70"/>
    <x v="39"/>
    <n v="147"/>
  </r>
  <r>
    <s v="10-Feb-2025"/>
    <n v="1207"/>
    <x v="7"/>
    <s v="Electronics"/>
    <x v="2"/>
    <x v="4"/>
    <n v="7"/>
    <n v="70"/>
    <x v="39"/>
    <n v="147"/>
  </r>
  <r>
    <s v="31-Mar-2025"/>
    <n v="1215"/>
    <x v="1"/>
    <s v="Furniture"/>
    <x v="3"/>
    <x v="0"/>
    <n v="1"/>
    <n v="450"/>
    <x v="40"/>
    <n v="135"/>
  </r>
  <r>
    <s v="21-Jan-2025"/>
    <n v="1027"/>
    <x v="1"/>
    <s v="Furniture"/>
    <x v="2"/>
    <x v="0"/>
    <n v="1"/>
    <n v="450"/>
    <x v="40"/>
    <n v="135"/>
  </r>
  <r>
    <s v="15-Jan-2025"/>
    <n v="1056"/>
    <x v="1"/>
    <s v="Furniture"/>
    <x v="0"/>
    <x v="1"/>
    <n v="1"/>
    <n v="450"/>
    <x v="40"/>
    <n v="135"/>
  </r>
  <r>
    <s v="25-Mar-2025"/>
    <n v="1057"/>
    <x v="1"/>
    <s v="Furniture"/>
    <x v="0"/>
    <x v="4"/>
    <n v="1"/>
    <n v="450"/>
    <x v="40"/>
    <n v="135"/>
  </r>
  <r>
    <s v="16-Mar-2025"/>
    <n v="1138"/>
    <x v="6"/>
    <s v="Electronics"/>
    <x v="1"/>
    <x v="1"/>
    <n v="3"/>
    <n v="150"/>
    <x v="40"/>
    <n v="135"/>
  </r>
  <r>
    <s v="24-Jan-2025"/>
    <n v="1148"/>
    <x v="1"/>
    <s v="Furniture"/>
    <x v="1"/>
    <x v="5"/>
    <n v="1"/>
    <n v="450"/>
    <x v="40"/>
    <n v="135"/>
  </r>
  <r>
    <s v="15-Jan-2025"/>
    <n v="1198"/>
    <x v="6"/>
    <s v="Electronics"/>
    <x v="0"/>
    <x v="0"/>
    <n v="3"/>
    <n v="150"/>
    <x v="40"/>
    <n v="135"/>
  </r>
  <r>
    <s v="31-Jan-2025"/>
    <n v="1025"/>
    <x v="7"/>
    <s v="Electronics"/>
    <x v="2"/>
    <x v="4"/>
    <n v="6"/>
    <n v="70"/>
    <x v="41"/>
    <n v="126"/>
  </r>
  <r>
    <s v="27-Mar-2025"/>
    <n v="1086"/>
    <x v="7"/>
    <s v="Electronics"/>
    <x v="0"/>
    <x v="4"/>
    <n v="6"/>
    <n v="70"/>
    <x v="41"/>
    <n v="126"/>
  </r>
  <r>
    <s v="02-Jan-2025"/>
    <n v="1154"/>
    <x v="7"/>
    <s v="Electronics"/>
    <x v="2"/>
    <x v="0"/>
    <n v="6"/>
    <n v="70"/>
    <x v="41"/>
    <n v="126"/>
  </r>
  <r>
    <s v="15-Jan-2025"/>
    <n v="1190"/>
    <x v="7"/>
    <s v="Electronics"/>
    <x v="2"/>
    <x v="4"/>
    <n v="6"/>
    <n v="70"/>
    <x v="41"/>
    <n v="126"/>
  </r>
  <r>
    <s v="24-Feb-2025"/>
    <n v="1121"/>
    <x v="7"/>
    <s v="Electronics"/>
    <x v="3"/>
    <x v="0"/>
    <n v="6"/>
    <n v="70"/>
    <x v="41"/>
    <n v="126"/>
  </r>
  <r>
    <s v="11-Mar-2025"/>
    <n v="1191"/>
    <x v="5"/>
    <s v="Furniture"/>
    <x v="3"/>
    <x v="3"/>
    <n v="2"/>
    <n v="200"/>
    <x v="42"/>
    <n v="120"/>
  </r>
  <r>
    <s v="19-Jan-2025"/>
    <n v="1088"/>
    <x v="2"/>
    <s v="Electronics"/>
    <x v="0"/>
    <x v="3"/>
    <n v="1"/>
    <n v="350"/>
    <x v="43"/>
    <n v="105"/>
  </r>
  <r>
    <s v="13-Mar-2025"/>
    <n v="1104"/>
    <x v="7"/>
    <s v="Electronics"/>
    <x v="2"/>
    <x v="3"/>
    <n v="5"/>
    <n v="70"/>
    <x v="43"/>
    <n v="105"/>
  </r>
  <r>
    <s v="24-Feb-2025"/>
    <n v="1048"/>
    <x v="2"/>
    <s v="Electronics"/>
    <x v="3"/>
    <x v="1"/>
    <n v="1"/>
    <n v="350"/>
    <x v="43"/>
    <n v="105"/>
  </r>
  <r>
    <s v="10-Mar-2025"/>
    <n v="1044"/>
    <x v="3"/>
    <s v="Furniture"/>
    <x v="0"/>
    <x v="2"/>
    <n v="1"/>
    <n v="300"/>
    <x v="44"/>
    <n v="90"/>
  </r>
  <r>
    <s v="12-Feb-2025"/>
    <n v="1060"/>
    <x v="6"/>
    <s v="Electronics"/>
    <x v="2"/>
    <x v="1"/>
    <n v="2"/>
    <n v="150"/>
    <x v="44"/>
    <n v="90"/>
  </r>
  <r>
    <s v="25-Feb-2025"/>
    <n v="1092"/>
    <x v="3"/>
    <s v="Furniture"/>
    <x v="0"/>
    <x v="5"/>
    <n v="1"/>
    <n v="300"/>
    <x v="44"/>
    <n v="90"/>
  </r>
  <r>
    <s v="15-Jan-2025"/>
    <n v="1214"/>
    <x v="6"/>
    <s v="Electronics"/>
    <x v="0"/>
    <x v="5"/>
    <n v="2"/>
    <n v="150"/>
    <x v="44"/>
    <n v="90"/>
  </r>
  <r>
    <s v="07-Jan-2025"/>
    <n v="1072"/>
    <x v="6"/>
    <s v="Electronics"/>
    <x v="3"/>
    <x v="4"/>
    <n v="2"/>
    <n v="150"/>
    <x v="44"/>
    <n v="90"/>
  </r>
  <r>
    <s v="26-Feb-2025"/>
    <n v="1084"/>
    <x v="7"/>
    <s v="Electronics"/>
    <x v="2"/>
    <x v="3"/>
    <n v="4"/>
    <n v="70"/>
    <x v="45"/>
    <n v="84"/>
  </r>
  <r>
    <s v="27-Feb-2025"/>
    <n v="1185"/>
    <x v="7"/>
    <s v="Electronics"/>
    <x v="2"/>
    <x v="2"/>
    <n v="4"/>
    <n v="70"/>
    <x v="45"/>
    <n v="84"/>
  </r>
  <r>
    <s v="01-Jan-2025"/>
    <n v="1037"/>
    <x v="8"/>
    <s v="Electronics"/>
    <x v="2"/>
    <x v="3"/>
    <n v="10"/>
    <n v="25"/>
    <x v="46"/>
    <n v="75"/>
  </r>
  <r>
    <s v="12-Feb-2025"/>
    <n v="1074"/>
    <x v="4"/>
    <s v="Electronics"/>
    <x v="0"/>
    <x v="0"/>
    <n v="1"/>
    <n v="250"/>
    <x v="46"/>
    <n v="75"/>
  </r>
  <r>
    <s v="26-Feb-2025"/>
    <n v="1161"/>
    <x v="4"/>
    <s v="Electronics"/>
    <x v="2"/>
    <x v="2"/>
    <n v="1"/>
    <n v="250"/>
    <x v="46"/>
    <n v="75"/>
  </r>
  <r>
    <s v="06-Jan-2025"/>
    <n v="1180"/>
    <x v="4"/>
    <s v="Electronics"/>
    <x v="0"/>
    <x v="0"/>
    <n v="1"/>
    <n v="250"/>
    <x v="46"/>
    <n v="75"/>
  </r>
  <r>
    <s v="19-Jan-2025"/>
    <n v="1022"/>
    <x v="4"/>
    <s v="Electronics"/>
    <x v="3"/>
    <x v="0"/>
    <n v="1"/>
    <n v="250"/>
    <x v="46"/>
    <n v="75"/>
  </r>
  <r>
    <s v="23-Jan-2025"/>
    <n v="1208"/>
    <x v="8"/>
    <s v="Electronics"/>
    <x v="3"/>
    <x v="2"/>
    <n v="10"/>
    <n v="25"/>
    <x v="46"/>
    <n v="75"/>
  </r>
  <r>
    <s v="05-Feb-2025"/>
    <n v="1031"/>
    <x v="8"/>
    <s v="Electronics"/>
    <x v="1"/>
    <x v="0"/>
    <n v="9"/>
    <n v="25"/>
    <x v="47"/>
    <n v="67.5"/>
  </r>
  <r>
    <s v="27-Mar-2025"/>
    <n v="1068"/>
    <x v="8"/>
    <s v="Electronics"/>
    <x v="1"/>
    <x v="4"/>
    <n v="9"/>
    <n v="25"/>
    <x v="47"/>
    <n v="67.5"/>
  </r>
  <r>
    <s v="18-Mar-2025"/>
    <n v="1100"/>
    <x v="8"/>
    <s v="Electronics"/>
    <x v="0"/>
    <x v="2"/>
    <n v="9"/>
    <n v="25"/>
    <x v="47"/>
    <n v="67.5"/>
  </r>
  <r>
    <s v="02-Jan-2025"/>
    <n v="1150"/>
    <x v="8"/>
    <s v="Electronics"/>
    <x v="2"/>
    <x v="4"/>
    <n v="9"/>
    <n v="25"/>
    <x v="47"/>
    <n v="67.5"/>
  </r>
  <r>
    <s v="27-Mar-2025"/>
    <n v="1203"/>
    <x v="8"/>
    <s v="Electronics"/>
    <x v="2"/>
    <x v="4"/>
    <n v="9"/>
    <n v="25"/>
    <x v="47"/>
    <n v="67.5"/>
  </r>
  <r>
    <s v="01-Feb-2025"/>
    <n v="1009"/>
    <x v="7"/>
    <s v="Electronics"/>
    <x v="2"/>
    <x v="2"/>
    <n v="3"/>
    <n v="70"/>
    <x v="48"/>
    <n v="63"/>
  </r>
  <r>
    <s v="27-Feb-2025"/>
    <n v="1055"/>
    <x v="7"/>
    <s v="Electronics"/>
    <x v="0"/>
    <x v="3"/>
    <n v="3"/>
    <n v="70"/>
    <x v="48"/>
    <n v="63"/>
  </r>
  <r>
    <s v="06-Jan-2025"/>
    <n v="1098"/>
    <x v="7"/>
    <s v="Electronics"/>
    <x v="1"/>
    <x v="1"/>
    <n v="3"/>
    <n v="70"/>
    <x v="48"/>
    <n v="63"/>
  </r>
  <r>
    <s v="01-Apr-2025"/>
    <n v="1186"/>
    <x v="7"/>
    <s v="Electronics"/>
    <x v="3"/>
    <x v="1"/>
    <n v="3"/>
    <n v="70"/>
    <x v="48"/>
    <n v="63"/>
  </r>
  <r>
    <s v="07-Feb-2025"/>
    <n v="1040"/>
    <x v="8"/>
    <s v="Electronics"/>
    <x v="0"/>
    <x v="3"/>
    <n v="8"/>
    <n v="25"/>
    <x v="49"/>
    <n v="60"/>
  </r>
  <r>
    <s v="08-Jan-2025"/>
    <n v="1109"/>
    <x v="8"/>
    <s v="Electronics"/>
    <x v="2"/>
    <x v="3"/>
    <n v="8"/>
    <n v="25"/>
    <x v="49"/>
    <n v="60"/>
  </r>
  <r>
    <s v="20-Jan-2025"/>
    <n v="1163"/>
    <x v="5"/>
    <s v="Furniture"/>
    <x v="2"/>
    <x v="0"/>
    <n v="1"/>
    <n v="200"/>
    <x v="49"/>
    <n v="60"/>
  </r>
  <r>
    <s v="03-Jan-2025"/>
    <n v="1167"/>
    <x v="8"/>
    <s v="Electronics"/>
    <x v="1"/>
    <x v="1"/>
    <n v="8"/>
    <n v="25"/>
    <x v="49"/>
    <n v="60"/>
  </r>
  <r>
    <s v="31-Jan-2025"/>
    <n v="1032"/>
    <x v="8"/>
    <s v="Electronics"/>
    <x v="1"/>
    <x v="1"/>
    <n v="7"/>
    <n v="25"/>
    <x v="50"/>
    <n v="52.5"/>
  </r>
  <r>
    <s v="09-Jan-2025"/>
    <n v="1083"/>
    <x v="8"/>
    <s v="Electronics"/>
    <x v="1"/>
    <x v="3"/>
    <n v="7"/>
    <n v="25"/>
    <x v="50"/>
    <n v="52.5"/>
  </r>
  <r>
    <s v="02-Jan-2025"/>
    <n v="1194"/>
    <x v="8"/>
    <s v="Electronics"/>
    <x v="0"/>
    <x v="2"/>
    <n v="7"/>
    <n v="25"/>
    <x v="50"/>
    <n v="52.5"/>
  </r>
  <r>
    <s v="09-Mar-2025"/>
    <n v="1064"/>
    <x v="6"/>
    <s v="Electronics"/>
    <x v="2"/>
    <x v="3"/>
    <n v="1"/>
    <n v="150"/>
    <x v="51"/>
    <n v="45"/>
  </r>
  <r>
    <s v="11-Jan-2025"/>
    <n v="1071"/>
    <x v="6"/>
    <s v="Electronics"/>
    <x v="2"/>
    <x v="4"/>
    <n v="1"/>
    <n v="150"/>
    <x v="51"/>
    <n v="45"/>
  </r>
  <r>
    <s v="23-Feb-2025"/>
    <n v="1096"/>
    <x v="6"/>
    <s v="Electronics"/>
    <x v="2"/>
    <x v="2"/>
    <n v="1"/>
    <n v="150"/>
    <x v="51"/>
    <n v="45"/>
  </r>
  <r>
    <s v="06-Feb-2025"/>
    <n v="1106"/>
    <x v="6"/>
    <s v="Electronics"/>
    <x v="1"/>
    <x v="1"/>
    <n v="1"/>
    <n v="150"/>
    <x v="51"/>
    <n v="45"/>
  </r>
  <r>
    <s v="04-Feb-2025"/>
    <n v="1187"/>
    <x v="8"/>
    <s v="Electronics"/>
    <x v="3"/>
    <x v="4"/>
    <n v="6"/>
    <n v="25"/>
    <x v="51"/>
    <n v="45"/>
  </r>
  <r>
    <s v="21-Feb-2025"/>
    <n v="1128"/>
    <x v="8"/>
    <s v="Electronics"/>
    <x v="0"/>
    <x v="2"/>
    <n v="5"/>
    <n v="25"/>
    <x v="52"/>
    <n v="37.5"/>
  </r>
  <r>
    <s v="25-Jan-2025"/>
    <n v="1120"/>
    <x v="8"/>
    <s v="Electronics"/>
    <x v="3"/>
    <x v="4"/>
    <n v="5"/>
    <n v="25"/>
    <x v="52"/>
    <n v="37.5"/>
  </r>
  <r>
    <s v="07-Mar-2025"/>
    <n v="1193"/>
    <x v="8"/>
    <s v="Electronics"/>
    <x v="0"/>
    <x v="4"/>
    <n v="4"/>
    <n v="25"/>
    <x v="53"/>
    <n v="30"/>
  </r>
  <r>
    <s v="17-Mar-2025"/>
    <n v="1204"/>
    <x v="8"/>
    <s v="Electronics"/>
    <x v="2"/>
    <x v="3"/>
    <n v="4"/>
    <n v="25"/>
    <x v="53"/>
    <n v="30"/>
  </r>
  <r>
    <s v="20-Feb-2025"/>
    <n v="1016"/>
    <x v="8"/>
    <s v="Electronics"/>
    <x v="3"/>
    <x v="5"/>
    <n v="4"/>
    <n v="25"/>
    <x v="53"/>
    <n v="30"/>
  </r>
  <r>
    <s v="10-Mar-2025"/>
    <n v="1038"/>
    <x v="8"/>
    <s v="Electronics"/>
    <x v="0"/>
    <x v="0"/>
    <n v="3"/>
    <n v="25"/>
    <x v="54"/>
    <n v="22.5"/>
  </r>
  <r>
    <s v="27-Feb-2025"/>
    <n v="1113"/>
    <x v="8"/>
    <s v="Electronics"/>
    <x v="0"/>
    <x v="4"/>
    <n v="3"/>
    <n v="25"/>
    <x v="54"/>
    <n v="22.5"/>
  </r>
  <r>
    <s v="05-Feb-2025"/>
    <n v="1184"/>
    <x v="8"/>
    <s v="Electronics"/>
    <x v="0"/>
    <x v="5"/>
    <n v="3"/>
    <n v="25"/>
    <x v="54"/>
    <n v="22.5"/>
  </r>
  <r>
    <s v="18-Mar-2025"/>
    <n v="1093"/>
    <x v="7"/>
    <s v="Electronics"/>
    <x v="1"/>
    <x v="2"/>
    <n v="1"/>
    <n v="70"/>
    <x v="55"/>
    <n v="21"/>
  </r>
  <r>
    <s v="09-Feb-2025"/>
    <n v="1078"/>
    <x v="8"/>
    <s v="Electronics"/>
    <x v="3"/>
    <x v="0"/>
    <n v="2"/>
    <n v="25"/>
    <x v="56"/>
    <n v="15"/>
  </r>
  <r>
    <s v="14-Mar-2025"/>
    <n v="1189"/>
    <x v="8"/>
    <s v="Electronics"/>
    <x v="3"/>
    <x v="4"/>
    <n v="2"/>
    <n v="25"/>
    <x v="56"/>
    <n v="15"/>
  </r>
  <r>
    <s v="26-Feb-2025"/>
    <n v="1220"/>
    <x v="8"/>
    <s v="Electronics"/>
    <x v="3"/>
    <x v="3"/>
    <n v="2"/>
    <n v="25"/>
    <x v="56"/>
    <n v="15"/>
  </r>
  <r>
    <s v="02-Jan-2025"/>
    <n v="1081"/>
    <x v="8"/>
    <s v="Electronics"/>
    <x v="0"/>
    <x v="1"/>
    <n v="1"/>
    <n v="25"/>
    <x v="57"/>
    <n v="7.5"/>
  </r>
  <r>
    <s v="16-Mar-2025"/>
    <n v="1094"/>
    <x v="8"/>
    <s v="Electronics"/>
    <x v="1"/>
    <x v="3"/>
    <n v="1"/>
    <n v="25"/>
    <x v="57"/>
    <n v="7.5"/>
  </r>
  <r>
    <s v="21-Jan-2025"/>
    <n v="1134"/>
    <x v="8"/>
    <s v="Electronics"/>
    <x v="0"/>
    <x v="2"/>
    <n v="1"/>
    <n v="25"/>
    <x v="57"/>
    <n v="7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76681-BB56-4910-9A2A-EED2BF89EDF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C13" firstHeaderRow="0" firstDataRow="1" firstDataCol="1"/>
  <pivotFields count="10">
    <pivotField showAll="0"/>
    <pivotField showAll="0"/>
    <pivotField axis="axisRow" showAll="0">
      <items count="10">
        <item x="5"/>
        <item x="1"/>
        <item x="6"/>
        <item x="7"/>
        <item x="0"/>
        <item x="4"/>
        <item x="8"/>
        <item x="3"/>
        <item x="2"/>
        <item t="default"/>
      </items>
    </pivotField>
    <pivotField showAll="0"/>
    <pivotField showAll="0">
      <items count="5">
        <item x="1"/>
        <item x="3"/>
        <item x="0"/>
        <item x="2"/>
        <item t="default"/>
      </items>
    </pivotField>
    <pivotField showAll="0">
      <items count="7">
        <item x="3"/>
        <item x="4"/>
        <item x="0"/>
        <item x="1"/>
        <item x="5"/>
        <item x="2"/>
        <item t="default"/>
      </items>
    </pivotField>
    <pivotField showAll="0"/>
    <pivotField showAll="0"/>
    <pivotField dataField="1" showAll="0">
      <items count="59"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8" baseField="0" baseItem="0"/>
    <dataField name="Sum of Revenue2" fld="8" showDataAs="percentOfTotal" baseField="0" baseItem="0" numFmtId="10"/>
  </dataFields>
  <chartFormats count="2">
    <chartFormat chart="1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B47E77-D269-4868-94D7-B8A105E2707D}" name="Table2" displayName="Table2" ref="A3:J26" totalsRowShown="0">
  <autoFilter ref="A3:J26" xr:uid="{EAB47E77-D269-4868-94D7-B8A105E2707D}"/>
  <tableColumns count="10">
    <tableColumn id="1" xr3:uid="{4A1E8B5B-A8AF-4B32-88E2-337DA46C2809}" name="Date"/>
    <tableColumn id="2" xr3:uid="{C91B0472-D98A-4ED8-B2D0-210825D18D2C}" name="Order_ID"/>
    <tableColumn id="3" xr3:uid="{68339E7E-32C0-42D5-8CEB-30B0D1B0BBD0}" name="Product"/>
    <tableColumn id="4" xr3:uid="{0E66D437-7BD7-4236-A095-5177026E5DDC}" name="Category"/>
    <tableColumn id="5" xr3:uid="{29603716-8FCB-46AE-880C-46D3EA51911F}" name="Region"/>
    <tableColumn id="6" xr3:uid="{EF964BB9-8CCA-4675-A973-D32D52FA03B5}" name="Salesperson"/>
    <tableColumn id="7" xr3:uid="{43193B6F-1EF2-4FBE-9000-A83AD4300A11}" name="Units_Sold"/>
    <tableColumn id="8" xr3:uid="{5C696F66-0EF0-42C6-B048-60EBC753FD90}" name="Unit_Price"/>
    <tableColumn id="9" xr3:uid="{86C89844-1AD1-47B6-86D6-404B7A7F4875}" name="Revenue"/>
    <tableColumn id="10" xr3:uid="{7AC927D7-8827-49E1-972F-C57EFECA3319}" name="Prof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D2D74B-6542-42E3-B5D8-413560964593}" name="Table1" displayName="Table1" ref="A1:J221" totalsRowShown="0">
  <autoFilter ref="A1:J221" xr:uid="{21D2D74B-6542-42E3-B5D8-413560964593}"/>
  <sortState xmlns:xlrd2="http://schemas.microsoft.com/office/spreadsheetml/2017/richdata2" ref="A2:J221">
    <sortCondition descending="1" ref="J1:J221"/>
  </sortState>
  <tableColumns count="10">
    <tableColumn id="1" xr3:uid="{A5F84E54-41C4-4FBB-9AC2-1373146F03B2}" name="Date"/>
    <tableColumn id="2" xr3:uid="{D0047399-677B-4563-875B-118B892389B5}" name="Order_ID"/>
    <tableColumn id="3" xr3:uid="{D388A532-73FC-4B88-AEC4-47EB6DE8DA22}" name="Product"/>
    <tableColumn id="4" xr3:uid="{F2F04143-F832-4A99-BA32-33253060CDED}" name="Category"/>
    <tableColumn id="5" xr3:uid="{6A05F61A-60A6-4794-9BAC-A38E8DB65C85}" name="Region"/>
    <tableColumn id="6" xr3:uid="{5BE6916D-E47D-490F-A87C-1697E621E249}" name="Salesperson"/>
    <tableColumn id="7" xr3:uid="{A94D3011-10B3-438B-89D6-88A1C898187A}" name="Units_Sold"/>
    <tableColumn id="8" xr3:uid="{8D163475-098C-419C-8F80-5A19AB67D799}" name="Unit_Price"/>
    <tableColumn id="9" xr3:uid="{642CE162-52A6-4C2C-923E-4F7B68567C3E}" name="Revenue"/>
    <tableColumn id="10" xr3:uid="{768164B9-FB03-4E11-8FB2-8CB3B4DB3D9A}" name="Profit" dataDxfId="0">
      <calculatedColumnFormula>I2*0.3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C05B-BFD1-4639-A774-8811941474F2}">
  <dimension ref="A1:J26"/>
  <sheetViews>
    <sheetView workbookViewId="0">
      <selection activeCell="A3" sqref="A3:J26"/>
    </sheetView>
  </sheetViews>
  <sheetFormatPr defaultRowHeight="14.4" x14ac:dyDescent="0.3"/>
  <cols>
    <col min="1" max="1" width="11.6640625" bestFit="1" customWidth="1"/>
    <col min="2" max="2" width="10.77734375" bestFit="1" customWidth="1"/>
    <col min="3" max="3" width="9.88671875" bestFit="1" customWidth="1"/>
    <col min="4" max="4" width="10.77734375" bestFit="1" customWidth="1"/>
    <col min="5" max="5" width="9" bestFit="1" customWidth="1"/>
    <col min="6" max="6" width="13.21875" bestFit="1" customWidth="1"/>
    <col min="7" max="7" width="12.21875" bestFit="1" customWidth="1"/>
    <col min="8" max="8" width="11.88671875" bestFit="1" customWidth="1"/>
    <col min="9" max="9" width="10.5546875" bestFit="1" customWidth="1"/>
    <col min="10" max="10" width="9" bestFit="1" customWidth="1"/>
  </cols>
  <sheetData>
    <row r="1" spans="1:10" x14ac:dyDescent="0.3">
      <c r="A1" s="4" t="s">
        <v>119</v>
      </c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115</v>
      </c>
    </row>
    <row r="4" spans="1:10" x14ac:dyDescent="0.3">
      <c r="A4" t="s">
        <v>33</v>
      </c>
      <c r="B4">
        <v>1085</v>
      </c>
      <c r="C4" t="s">
        <v>24</v>
      </c>
      <c r="D4" t="s">
        <v>16</v>
      </c>
      <c r="E4" t="s">
        <v>25</v>
      </c>
      <c r="F4" t="s">
        <v>26</v>
      </c>
      <c r="G4">
        <v>10</v>
      </c>
      <c r="H4">
        <v>1200</v>
      </c>
      <c r="I4">
        <v>12000</v>
      </c>
      <c r="J4">
        <v>3600</v>
      </c>
    </row>
    <row r="5" spans="1:10" x14ac:dyDescent="0.3">
      <c r="A5" t="s">
        <v>56</v>
      </c>
      <c r="B5">
        <v>1147</v>
      </c>
      <c r="C5" t="s">
        <v>24</v>
      </c>
      <c r="D5" t="s">
        <v>16</v>
      </c>
      <c r="E5" t="s">
        <v>21</v>
      </c>
      <c r="F5" t="s">
        <v>18</v>
      </c>
      <c r="G5">
        <v>9</v>
      </c>
      <c r="H5">
        <v>1200</v>
      </c>
      <c r="I5">
        <v>10800</v>
      </c>
      <c r="J5">
        <v>3240</v>
      </c>
    </row>
    <row r="6" spans="1:10" x14ac:dyDescent="0.3">
      <c r="A6" t="s">
        <v>76</v>
      </c>
      <c r="B6">
        <v>1123</v>
      </c>
      <c r="C6" t="s">
        <v>24</v>
      </c>
      <c r="D6" t="s">
        <v>16</v>
      </c>
      <c r="E6" t="s">
        <v>12</v>
      </c>
      <c r="F6" t="s">
        <v>18</v>
      </c>
      <c r="G6">
        <v>9</v>
      </c>
      <c r="H6">
        <v>1200</v>
      </c>
      <c r="I6">
        <v>10800</v>
      </c>
      <c r="J6">
        <v>3240</v>
      </c>
    </row>
    <row r="7" spans="1:10" x14ac:dyDescent="0.3">
      <c r="A7" t="s">
        <v>98</v>
      </c>
      <c r="B7">
        <v>1153</v>
      </c>
      <c r="C7" t="s">
        <v>24</v>
      </c>
      <c r="D7" t="s">
        <v>16</v>
      </c>
      <c r="E7" t="s">
        <v>17</v>
      </c>
      <c r="F7" t="s">
        <v>36</v>
      </c>
      <c r="G7">
        <v>8</v>
      </c>
      <c r="H7">
        <v>1200</v>
      </c>
      <c r="I7">
        <v>9600</v>
      </c>
      <c r="J7">
        <v>2880</v>
      </c>
    </row>
    <row r="8" spans="1:10" x14ac:dyDescent="0.3">
      <c r="A8" t="s">
        <v>9</v>
      </c>
      <c r="B8">
        <v>1115</v>
      </c>
      <c r="C8" t="s">
        <v>24</v>
      </c>
      <c r="D8" t="s">
        <v>16</v>
      </c>
      <c r="E8" t="s">
        <v>25</v>
      </c>
      <c r="F8" t="s">
        <v>18</v>
      </c>
      <c r="G8">
        <v>7</v>
      </c>
      <c r="H8">
        <v>1200</v>
      </c>
      <c r="I8">
        <v>8400</v>
      </c>
      <c r="J8">
        <v>2520</v>
      </c>
    </row>
    <row r="9" spans="1:10" x14ac:dyDescent="0.3">
      <c r="A9" t="s">
        <v>41</v>
      </c>
      <c r="B9">
        <v>1014</v>
      </c>
      <c r="C9" t="s">
        <v>24</v>
      </c>
      <c r="D9" t="s">
        <v>16</v>
      </c>
      <c r="E9" t="s">
        <v>12</v>
      </c>
      <c r="F9" t="s">
        <v>36</v>
      </c>
      <c r="G9">
        <v>7</v>
      </c>
      <c r="H9">
        <v>1200</v>
      </c>
      <c r="I9">
        <v>8400</v>
      </c>
      <c r="J9">
        <v>2520</v>
      </c>
    </row>
    <row r="10" spans="1:10" x14ac:dyDescent="0.3">
      <c r="A10" t="s">
        <v>63</v>
      </c>
      <c r="B10">
        <v>1043</v>
      </c>
      <c r="C10" t="s">
        <v>24</v>
      </c>
      <c r="D10" t="s">
        <v>16</v>
      </c>
      <c r="E10" t="s">
        <v>12</v>
      </c>
      <c r="F10" t="s">
        <v>26</v>
      </c>
      <c r="G10">
        <v>7</v>
      </c>
      <c r="H10">
        <v>1200</v>
      </c>
      <c r="I10">
        <v>8400</v>
      </c>
      <c r="J10">
        <v>2520</v>
      </c>
    </row>
    <row r="11" spans="1:10" x14ac:dyDescent="0.3">
      <c r="A11" t="s">
        <v>31</v>
      </c>
      <c r="B11">
        <v>1183</v>
      </c>
      <c r="C11" t="s">
        <v>24</v>
      </c>
      <c r="D11" t="s">
        <v>16</v>
      </c>
      <c r="E11" t="s">
        <v>21</v>
      </c>
      <c r="F11" t="s">
        <v>30</v>
      </c>
      <c r="G11">
        <v>6</v>
      </c>
      <c r="H11">
        <v>1200</v>
      </c>
      <c r="I11">
        <v>7200</v>
      </c>
      <c r="J11">
        <v>2160</v>
      </c>
    </row>
    <row r="12" spans="1:10" x14ac:dyDescent="0.3">
      <c r="A12" t="s">
        <v>87</v>
      </c>
      <c r="B12">
        <v>1171</v>
      </c>
      <c r="C12" t="s">
        <v>24</v>
      </c>
      <c r="D12" t="s">
        <v>16</v>
      </c>
      <c r="E12" t="s">
        <v>21</v>
      </c>
      <c r="F12" t="s">
        <v>26</v>
      </c>
      <c r="G12">
        <v>5</v>
      </c>
      <c r="H12">
        <v>1200</v>
      </c>
      <c r="I12">
        <v>6000</v>
      </c>
      <c r="J12">
        <v>1800</v>
      </c>
    </row>
    <row r="13" spans="1:10" x14ac:dyDescent="0.3">
      <c r="A13" t="s">
        <v>43</v>
      </c>
      <c r="B13">
        <v>1176</v>
      </c>
      <c r="C13" t="s">
        <v>24</v>
      </c>
      <c r="D13" t="s">
        <v>16</v>
      </c>
      <c r="E13" t="s">
        <v>21</v>
      </c>
      <c r="F13" t="s">
        <v>26</v>
      </c>
      <c r="G13">
        <v>5</v>
      </c>
      <c r="H13">
        <v>1200</v>
      </c>
      <c r="I13">
        <v>6000</v>
      </c>
      <c r="J13">
        <v>1800</v>
      </c>
    </row>
    <row r="14" spans="1:10" x14ac:dyDescent="0.3">
      <c r="A14" t="s">
        <v>23</v>
      </c>
      <c r="B14">
        <v>1004</v>
      </c>
      <c r="C14" t="s">
        <v>24</v>
      </c>
      <c r="D14" t="s">
        <v>16</v>
      </c>
      <c r="E14" t="s">
        <v>25</v>
      </c>
      <c r="F14" t="s">
        <v>26</v>
      </c>
      <c r="G14">
        <v>5</v>
      </c>
      <c r="H14">
        <v>1200</v>
      </c>
      <c r="I14">
        <v>6000</v>
      </c>
      <c r="J14">
        <v>1800</v>
      </c>
    </row>
    <row r="15" spans="1:10" x14ac:dyDescent="0.3">
      <c r="A15" t="s">
        <v>76</v>
      </c>
      <c r="B15">
        <v>1212</v>
      </c>
      <c r="C15" t="s">
        <v>24</v>
      </c>
      <c r="D15" t="s">
        <v>16</v>
      </c>
      <c r="E15" t="s">
        <v>25</v>
      </c>
      <c r="F15" t="s">
        <v>36</v>
      </c>
      <c r="G15">
        <v>5</v>
      </c>
      <c r="H15">
        <v>1200</v>
      </c>
      <c r="I15">
        <v>6000</v>
      </c>
      <c r="J15">
        <v>1800</v>
      </c>
    </row>
    <row r="16" spans="1:10" x14ac:dyDescent="0.3">
      <c r="A16" t="s">
        <v>58</v>
      </c>
      <c r="B16">
        <v>1036</v>
      </c>
      <c r="C16" t="s">
        <v>24</v>
      </c>
      <c r="D16" t="s">
        <v>16</v>
      </c>
      <c r="E16" t="s">
        <v>12</v>
      </c>
      <c r="F16" t="s">
        <v>22</v>
      </c>
      <c r="G16">
        <v>5</v>
      </c>
      <c r="H16">
        <v>1200</v>
      </c>
      <c r="I16">
        <v>6000</v>
      </c>
      <c r="J16">
        <v>1800</v>
      </c>
    </row>
    <row r="17" spans="1:10" x14ac:dyDescent="0.3">
      <c r="A17" t="s">
        <v>42</v>
      </c>
      <c r="B17">
        <v>1170</v>
      </c>
      <c r="C17" t="s">
        <v>24</v>
      </c>
      <c r="D17" t="s">
        <v>16</v>
      </c>
      <c r="E17" t="s">
        <v>17</v>
      </c>
      <c r="F17" t="s">
        <v>30</v>
      </c>
      <c r="G17">
        <v>4</v>
      </c>
      <c r="H17">
        <v>1200</v>
      </c>
      <c r="I17">
        <v>4800</v>
      </c>
      <c r="J17">
        <v>1440</v>
      </c>
    </row>
    <row r="18" spans="1:10" x14ac:dyDescent="0.3">
      <c r="A18" t="s">
        <v>40</v>
      </c>
      <c r="B18">
        <v>1013</v>
      </c>
      <c r="C18" t="s">
        <v>24</v>
      </c>
      <c r="D18" t="s">
        <v>16</v>
      </c>
      <c r="E18" t="s">
        <v>25</v>
      </c>
      <c r="F18" t="s">
        <v>30</v>
      </c>
      <c r="G18">
        <v>4</v>
      </c>
      <c r="H18">
        <v>1200</v>
      </c>
      <c r="I18">
        <v>4800</v>
      </c>
      <c r="J18">
        <v>1440</v>
      </c>
    </row>
    <row r="19" spans="1:10" x14ac:dyDescent="0.3">
      <c r="A19" t="s">
        <v>105</v>
      </c>
      <c r="B19">
        <v>1178</v>
      </c>
      <c r="C19" t="s">
        <v>24</v>
      </c>
      <c r="D19" t="s">
        <v>16</v>
      </c>
      <c r="E19" t="s">
        <v>25</v>
      </c>
      <c r="F19" t="s">
        <v>22</v>
      </c>
      <c r="G19">
        <v>4</v>
      </c>
      <c r="H19">
        <v>1200</v>
      </c>
      <c r="I19">
        <v>4800</v>
      </c>
      <c r="J19">
        <v>1440</v>
      </c>
    </row>
    <row r="20" spans="1:10" x14ac:dyDescent="0.3">
      <c r="A20" t="s">
        <v>76</v>
      </c>
      <c r="B20">
        <v>1141</v>
      </c>
      <c r="C20" t="s">
        <v>24</v>
      </c>
      <c r="D20" t="s">
        <v>16</v>
      </c>
      <c r="E20" t="s">
        <v>12</v>
      </c>
      <c r="F20" t="s">
        <v>36</v>
      </c>
      <c r="G20">
        <v>4</v>
      </c>
      <c r="H20">
        <v>1200</v>
      </c>
      <c r="I20">
        <v>4800</v>
      </c>
      <c r="J20">
        <v>1440</v>
      </c>
    </row>
    <row r="21" spans="1:10" x14ac:dyDescent="0.3">
      <c r="A21" t="s">
        <v>70</v>
      </c>
      <c r="B21">
        <v>1075</v>
      </c>
      <c r="C21" t="s">
        <v>24</v>
      </c>
      <c r="D21" t="s">
        <v>16</v>
      </c>
      <c r="E21" t="s">
        <v>25</v>
      </c>
      <c r="F21" t="s">
        <v>13</v>
      </c>
      <c r="G21">
        <v>1</v>
      </c>
      <c r="H21">
        <v>1200</v>
      </c>
      <c r="I21">
        <v>1200</v>
      </c>
      <c r="J21">
        <v>360</v>
      </c>
    </row>
    <row r="22" spans="1:10" x14ac:dyDescent="0.3">
      <c r="A22" t="s">
        <v>38</v>
      </c>
      <c r="B22">
        <v>1011</v>
      </c>
      <c r="C22" t="s">
        <v>24</v>
      </c>
      <c r="D22" t="s">
        <v>16</v>
      </c>
      <c r="E22" t="s">
        <v>17</v>
      </c>
      <c r="F22" t="s">
        <v>26</v>
      </c>
      <c r="G22">
        <v>1</v>
      </c>
      <c r="H22">
        <v>1200</v>
      </c>
      <c r="I22">
        <v>1200</v>
      </c>
      <c r="J22">
        <v>360</v>
      </c>
    </row>
    <row r="23" spans="1:10" x14ac:dyDescent="0.3">
      <c r="A23" t="s">
        <v>52</v>
      </c>
      <c r="B23">
        <v>1046</v>
      </c>
      <c r="C23" t="s">
        <v>24</v>
      </c>
      <c r="D23" t="s">
        <v>16</v>
      </c>
      <c r="E23" t="s">
        <v>21</v>
      </c>
      <c r="F23" t="s">
        <v>30</v>
      </c>
      <c r="G23">
        <v>1</v>
      </c>
      <c r="H23">
        <v>1200</v>
      </c>
      <c r="I23">
        <v>1200</v>
      </c>
      <c r="J23">
        <v>360</v>
      </c>
    </row>
    <row r="24" spans="1:10" x14ac:dyDescent="0.3">
      <c r="A24" t="s">
        <v>42</v>
      </c>
      <c r="B24">
        <v>1015</v>
      </c>
      <c r="C24" t="s">
        <v>24</v>
      </c>
      <c r="D24" t="s">
        <v>16</v>
      </c>
      <c r="E24" t="s">
        <v>21</v>
      </c>
      <c r="F24" t="s">
        <v>30</v>
      </c>
      <c r="G24">
        <v>1</v>
      </c>
      <c r="H24">
        <v>1200</v>
      </c>
      <c r="I24">
        <v>1200</v>
      </c>
      <c r="J24">
        <v>360</v>
      </c>
    </row>
    <row r="25" spans="1:10" x14ac:dyDescent="0.3">
      <c r="A25" t="s">
        <v>34</v>
      </c>
      <c r="B25">
        <v>1181</v>
      </c>
      <c r="C25" t="s">
        <v>24</v>
      </c>
      <c r="D25" t="s">
        <v>16</v>
      </c>
      <c r="E25" t="s">
        <v>25</v>
      </c>
      <c r="F25" t="s">
        <v>22</v>
      </c>
      <c r="G25">
        <v>2</v>
      </c>
      <c r="H25">
        <v>1200</v>
      </c>
      <c r="I25">
        <v>2400</v>
      </c>
      <c r="J25">
        <v>720</v>
      </c>
    </row>
    <row r="26" spans="1:10" x14ac:dyDescent="0.3">
      <c r="A26" t="s">
        <v>39</v>
      </c>
      <c r="B26">
        <v>1029</v>
      </c>
      <c r="C26" t="s">
        <v>24</v>
      </c>
      <c r="D26" t="s">
        <v>16</v>
      </c>
      <c r="E26" t="s">
        <v>25</v>
      </c>
      <c r="F26" t="s">
        <v>36</v>
      </c>
      <c r="G26">
        <v>2</v>
      </c>
      <c r="H26">
        <v>1200</v>
      </c>
      <c r="I26">
        <v>2400</v>
      </c>
      <c r="J26">
        <v>720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D5F3-4D49-4342-9CB9-B1F5C272CF4C}">
  <dimension ref="A3:C13"/>
  <sheetViews>
    <sheetView tabSelected="1" zoomScaleNormal="100" workbookViewId="0">
      <selection activeCell="C5" sqref="C5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5.88671875" bestFit="1" customWidth="1"/>
  </cols>
  <sheetData>
    <row r="3" spans="1:3" x14ac:dyDescent="0.3">
      <c r="A3" s="1" t="s">
        <v>116</v>
      </c>
      <c r="B3" t="s">
        <v>118</v>
      </c>
      <c r="C3" t="s">
        <v>120</v>
      </c>
    </row>
    <row r="4" spans="1:3" x14ac:dyDescent="0.3">
      <c r="A4" s="2" t="s">
        <v>29</v>
      </c>
      <c r="B4" s="3">
        <v>22600</v>
      </c>
      <c r="C4" s="5">
        <v>6.1476524672215878E-2</v>
      </c>
    </row>
    <row r="5" spans="1:3" x14ac:dyDescent="0.3">
      <c r="A5" s="2" t="s">
        <v>10</v>
      </c>
      <c r="B5" s="3">
        <v>61200</v>
      </c>
      <c r="C5" s="5">
        <v>0.16647625265219521</v>
      </c>
    </row>
    <row r="6" spans="1:3" x14ac:dyDescent="0.3">
      <c r="A6" s="2" t="s">
        <v>15</v>
      </c>
      <c r="B6" s="3">
        <v>23550</v>
      </c>
      <c r="C6" s="5">
        <v>6.4060714868614324E-2</v>
      </c>
    </row>
    <row r="7" spans="1:3" x14ac:dyDescent="0.3">
      <c r="A7" s="2" t="s">
        <v>35</v>
      </c>
      <c r="B7" s="3">
        <v>9870</v>
      </c>
      <c r="C7" s="5">
        <v>2.6848376040476581E-2</v>
      </c>
    </row>
    <row r="8" spans="1:3" x14ac:dyDescent="0.3">
      <c r="A8" s="2" t="s">
        <v>24</v>
      </c>
      <c r="B8" s="3">
        <v>134400</v>
      </c>
      <c r="C8" s="5">
        <v>0.36559490778521297</v>
      </c>
    </row>
    <row r="9" spans="1:3" x14ac:dyDescent="0.3">
      <c r="A9" s="2" t="s">
        <v>20</v>
      </c>
      <c r="B9" s="3">
        <v>30250</v>
      </c>
      <c r="C9" s="5">
        <v>8.2286056253740275E-2</v>
      </c>
    </row>
    <row r="10" spans="1:3" x14ac:dyDescent="0.3">
      <c r="A10" s="2" t="s">
        <v>44</v>
      </c>
      <c r="B10" s="3">
        <v>3900</v>
      </c>
      <c r="C10" s="5">
        <v>1.0608780806267341E-2</v>
      </c>
    </row>
    <row r="11" spans="1:3" x14ac:dyDescent="0.3">
      <c r="A11" s="2" t="s">
        <v>32</v>
      </c>
      <c r="B11" s="3">
        <v>36000</v>
      </c>
      <c r="C11" s="5">
        <v>9.7927207442467759E-2</v>
      </c>
    </row>
    <row r="12" spans="1:3" x14ac:dyDescent="0.3">
      <c r="A12" s="2" t="s">
        <v>49</v>
      </c>
      <c r="B12" s="3">
        <v>45850</v>
      </c>
      <c r="C12" s="5">
        <v>0.12472117947880965</v>
      </c>
    </row>
    <row r="13" spans="1:3" x14ac:dyDescent="0.3">
      <c r="A13" s="2" t="s">
        <v>117</v>
      </c>
      <c r="B13" s="3">
        <v>367620</v>
      </c>
      <c r="C13" s="5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1"/>
  <sheetViews>
    <sheetView topLeftCell="A2" workbookViewId="0">
      <selection activeCell="F2" sqref="F2"/>
    </sheetView>
  </sheetViews>
  <sheetFormatPr defaultRowHeight="14.4" x14ac:dyDescent="0.3"/>
  <cols>
    <col min="1" max="1" width="12.21875" customWidth="1"/>
    <col min="2" max="2" width="10.44140625" customWidth="1"/>
    <col min="3" max="3" width="9.5546875" customWidth="1"/>
    <col min="4" max="4" width="10.44140625" customWidth="1"/>
    <col min="6" max="6" width="12.88671875" customWidth="1"/>
    <col min="7" max="7" width="11.88671875" customWidth="1"/>
    <col min="8" max="8" width="11.5546875" customWidth="1"/>
    <col min="9" max="9" width="10.21875" customWidth="1"/>
    <col min="11" max="11" width="14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115</v>
      </c>
      <c r="K1" t="s">
        <v>111</v>
      </c>
      <c r="L1">
        <f>SUM(I:I)</f>
        <v>367620</v>
      </c>
    </row>
    <row r="2" spans="1:12" x14ac:dyDescent="0.3">
      <c r="A2" t="s">
        <v>33</v>
      </c>
      <c r="B2">
        <v>1085</v>
      </c>
      <c r="C2" t="s">
        <v>24</v>
      </c>
      <c r="D2" t="s">
        <v>16</v>
      </c>
      <c r="E2" t="s">
        <v>25</v>
      </c>
      <c r="F2" t="s">
        <v>26</v>
      </c>
      <c r="G2">
        <v>10</v>
      </c>
      <c r="H2">
        <v>1200</v>
      </c>
      <c r="I2">
        <v>12000</v>
      </c>
      <c r="J2">
        <f>I2*0.3</f>
        <v>3600</v>
      </c>
      <c r="K2" t="s">
        <v>112</v>
      </c>
      <c r="L2">
        <f>AVERAGE(H:H)</f>
        <v>323</v>
      </c>
    </row>
    <row r="3" spans="1:12" x14ac:dyDescent="0.3">
      <c r="A3" t="s">
        <v>56</v>
      </c>
      <c r="B3">
        <v>1147</v>
      </c>
      <c r="C3" t="s">
        <v>24</v>
      </c>
      <c r="D3" t="s">
        <v>16</v>
      </c>
      <c r="E3" t="s">
        <v>21</v>
      </c>
      <c r="F3" t="s">
        <v>18</v>
      </c>
      <c r="G3">
        <v>9</v>
      </c>
      <c r="H3">
        <v>1200</v>
      </c>
      <c r="I3">
        <v>10800</v>
      </c>
      <c r="J3">
        <f>I3*0.3</f>
        <v>3240</v>
      </c>
      <c r="K3" t="s">
        <v>113</v>
      </c>
      <c r="L3">
        <f>MAX(I:I)</f>
        <v>12000</v>
      </c>
    </row>
    <row r="4" spans="1:12" x14ac:dyDescent="0.3">
      <c r="A4" t="s">
        <v>76</v>
      </c>
      <c r="B4">
        <v>1123</v>
      </c>
      <c r="C4" t="s">
        <v>24</v>
      </c>
      <c r="D4" t="s">
        <v>16</v>
      </c>
      <c r="E4" t="s">
        <v>12</v>
      </c>
      <c r="F4" t="s">
        <v>18</v>
      </c>
      <c r="G4">
        <v>9</v>
      </c>
      <c r="H4">
        <v>1200</v>
      </c>
      <c r="I4">
        <v>10800</v>
      </c>
      <c r="J4">
        <f>I4*0.3</f>
        <v>3240</v>
      </c>
      <c r="K4" t="s">
        <v>114</v>
      </c>
      <c r="L4">
        <f>SUM(G:G)</f>
        <v>1187</v>
      </c>
    </row>
    <row r="5" spans="1:12" x14ac:dyDescent="0.3">
      <c r="A5" t="s">
        <v>98</v>
      </c>
      <c r="B5">
        <v>1153</v>
      </c>
      <c r="C5" t="s">
        <v>24</v>
      </c>
      <c r="D5" t="s">
        <v>16</v>
      </c>
      <c r="E5" t="s">
        <v>17</v>
      </c>
      <c r="F5" t="s">
        <v>36</v>
      </c>
      <c r="G5">
        <v>8</v>
      </c>
      <c r="H5">
        <v>1200</v>
      </c>
      <c r="I5">
        <v>9600</v>
      </c>
      <c r="J5">
        <f>I5*0.3</f>
        <v>2880</v>
      </c>
    </row>
    <row r="6" spans="1:12" x14ac:dyDescent="0.3">
      <c r="A6" t="s">
        <v>9</v>
      </c>
      <c r="B6">
        <v>1115</v>
      </c>
      <c r="C6" t="s">
        <v>24</v>
      </c>
      <c r="D6" t="s">
        <v>16</v>
      </c>
      <c r="E6" t="s">
        <v>25</v>
      </c>
      <c r="F6" t="s">
        <v>18</v>
      </c>
      <c r="G6">
        <v>7</v>
      </c>
      <c r="H6">
        <v>1200</v>
      </c>
      <c r="I6">
        <v>8400</v>
      </c>
      <c r="J6">
        <f>I6*0.3</f>
        <v>2520</v>
      </c>
    </row>
    <row r="7" spans="1:12" x14ac:dyDescent="0.3">
      <c r="A7" t="s">
        <v>41</v>
      </c>
      <c r="B7">
        <v>1014</v>
      </c>
      <c r="C7" t="s">
        <v>24</v>
      </c>
      <c r="D7" t="s">
        <v>16</v>
      </c>
      <c r="E7" t="s">
        <v>12</v>
      </c>
      <c r="F7" t="s">
        <v>36</v>
      </c>
      <c r="G7">
        <v>7</v>
      </c>
      <c r="H7">
        <v>1200</v>
      </c>
      <c r="I7">
        <v>8400</v>
      </c>
      <c r="J7">
        <f>I7*0.3</f>
        <v>2520</v>
      </c>
    </row>
    <row r="8" spans="1:12" x14ac:dyDescent="0.3">
      <c r="A8" t="s">
        <v>63</v>
      </c>
      <c r="B8">
        <v>1043</v>
      </c>
      <c r="C8" t="s">
        <v>24</v>
      </c>
      <c r="D8" t="s">
        <v>16</v>
      </c>
      <c r="E8" t="s">
        <v>12</v>
      </c>
      <c r="F8" t="s">
        <v>26</v>
      </c>
      <c r="G8">
        <v>7</v>
      </c>
      <c r="H8">
        <v>1200</v>
      </c>
      <c r="I8">
        <v>8400</v>
      </c>
      <c r="J8">
        <f>I8*0.3</f>
        <v>2520</v>
      </c>
    </row>
    <row r="9" spans="1:12" x14ac:dyDescent="0.3">
      <c r="A9" t="s">
        <v>31</v>
      </c>
      <c r="B9">
        <v>1183</v>
      </c>
      <c r="C9" t="s">
        <v>24</v>
      </c>
      <c r="D9" t="s">
        <v>16</v>
      </c>
      <c r="E9" t="s">
        <v>21</v>
      </c>
      <c r="F9" t="s">
        <v>30</v>
      </c>
      <c r="G9">
        <v>6</v>
      </c>
      <c r="H9">
        <v>1200</v>
      </c>
      <c r="I9">
        <v>7200</v>
      </c>
      <c r="J9">
        <f>I9*0.3</f>
        <v>2160</v>
      </c>
    </row>
    <row r="10" spans="1:12" x14ac:dyDescent="0.3">
      <c r="A10" t="s">
        <v>87</v>
      </c>
      <c r="B10">
        <v>1171</v>
      </c>
      <c r="C10" t="s">
        <v>24</v>
      </c>
      <c r="D10" t="s">
        <v>16</v>
      </c>
      <c r="E10" t="s">
        <v>21</v>
      </c>
      <c r="F10" t="s">
        <v>26</v>
      </c>
      <c r="G10">
        <v>5</v>
      </c>
      <c r="H10">
        <v>1200</v>
      </c>
      <c r="I10">
        <v>6000</v>
      </c>
      <c r="J10">
        <f>I10*0.3</f>
        <v>1800</v>
      </c>
    </row>
    <row r="11" spans="1:12" x14ac:dyDescent="0.3">
      <c r="A11" t="s">
        <v>43</v>
      </c>
      <c r="B11">
        <v>1176</v>
      </c>
      <c r="C11" t="s">
        <v>24</v>
      </c>
      <c r="D11" t="s">
        <v>16</v>
      </c>
      <c r="E11" t="s">
        <v>21</v>
      </c>
      <c r="F11" t="s">
        <v>26</v>
      </c>
      <c r="G11">
        <v>5</v>
      </c>
      <c r="H11">
        <v>1200</v>
      </c>
      <c r="I11">
        <v>6000</v>
      </c>
      <c r="J11">
        <f>I11*0.3</f>
        <v>1800</v>
      </c>
    </row>
    <row r="12" spans="1:12" x14ac:dyDescent="0.3">
      <c r="A12" t="s">
        <v>23</v>
      </c>
      <c r="B12">
        <v>1004</v>
      </c>
      <c r="C12" t="s">
        <v>24</v>
      </c>
      <c r="D12" t="s">
        <v>16</v>
      </c>
      <c r="E12" t="s">
        <v>25</v>
      </c>
      <c r="F12" t="s">
        <v>26</v>
      </c>
      <c r="G12">
        <v>5</v>
      </c>
      <c r="H12">
        <v>1200</v>
      </c>
      <c r="I12">
        <v>6000</v>
      </c>
      <c r="J12">
        <f>I12*0.3</f>
        <v>1800</v>
      </c>
    </row>
    <row r="13" spans="1:12" x14ac:dyDescent="0.3">
      <c r="A13" t="s">
        <v>76</v>
      </c>
      <c r="B13">
        <v>1212</v>
      </c>
      <c r="C13" t="s">
        <v>24</v>
      </c>
      <c r="D13" t="s">
        <v>16</v>
      </c>
      <c r="E13" t="s">
        <v>25</v>
      </c>
      <c r="F13" t="s">
        <v>36</v>
      </c>
      <c r="G13">
        <v>5</v>
      </c>
      <c r="H13">
        <v>1200</v>
      </c>
      <c r="I13">
        <v>6000</v>
      </c>
      <c r="J13">
        <f>I13*0.3</f>
        <v>1800</v>
      </c>
    </row>
    <row r="14" spans="1:12" x14ac:dyDescent="0.3">
      <c r="A14" t="s">
        <v>58</v>
      </c>
      <c r="B14">
        <v>1036</v>
      </c>
      <c r="C14" t="s">
        <v>24</v>
      </c>
      <c r="D14" t="s">
        <v>16</v>
      </c>
      <c r="E14" t="s">
        <v>12</v>
      </c>
      <c r="F14" t="s">
        <v>22</v>
      </c>
      <c r="G14">
        <v>5</v>
      </c>
      <c r="H14">
        <v>1200</v>
      </c>
      <c r="I14">
        <v>6000</v>
      </c>
      <c r="J14">
        <f>I14*0.3</f>
        <v>1800</v>
      </c>
    </row>
    <row r="15" spans="1:12" x14ac:dyDescent="0.3">
      <c r="A15" t="s">
        <v>42</v>
      </c>
      <c r="B15">
        <v>1170</v>
      </c>
      <c r="C15" t="s">
        <v>24</v>
      </c>
      <c r="D15" t="s">
        <v>16</v>
      </c>
      <c r="E15" t="s">
        <v>17</v>
      </c>
      <c r="F15" t="s">
        <v>30</v>
      </c>
      <c r="G15">
        <v>4</v>
      </c>
      <c r="H15">
        <v>1200</v>
      </c>
      <c r="I15">
        <v>4800</v>
      </c>
      <c r="J15">
        <f>I15*0.3</f>
        <v>1440</v>
      </c>
    </row>
    <row r="16" spans="1:12" x14ac:dyDescent="0.3">
      <c r="A16" t="s">
        <v>40</v>
      </c>
      <c r="B16">
        <v>1013</v>
      </c>
      <c r="C16" t="s">
        <v>24</v>
      </c>
      <c r="D16" t="s">
        <v>16</v>
      </c>
      <c r="E16" t="s">
        <v>25</v>
      </c>
      <c r="F16" t="s">
        <v>30</v>
      </c>
      <c r="G16">
        <v>4</v>
      </c>
      <c r="H16">
        <v>1200</v>
      </c>
      <c r="I16">
        <v>4800</v>
      </c>
      <c r="J16">
        <f>I16*0.3</f>
        <v>1440</v>
      </c>
    </row>
    <row r="17" spans="1:10" x14ac:dyDescent="0.3">
      <c r="A17" t="s">
        <v>105</v>
      </c>
      <c r="B17">
        <v>1178</v>
      </c>
      <c r="C17" t="s">
        <v>24</v>
      </c>
      <c r="D17" t="s">
        <v>16</v>
      </c>
      <c r="E17" t="s">
        <v>25</v>
      </c>
      <c r="F17" t="s">
        <v>22</v>
      </c>
      <c r="G17">
        <v>4</v>
      </c>
      <c r="H17">
        <v>1200</v>
      </c>
      <c r="I17">
        <v>4800</v>
      </c>
      <c r="J17">
        <f>I17*0.3</f>
        <v>1440</v>
      </c>
    </row>
    <row r="18" spans="1:10" x14ac:dyDescent="0.3">
      <c r="A18" t="s">
        <v>76</v>
      </c>
      <c r="B18">
        <v>1141</v>
      </c>
      <c r="C18" t="s">
        <v>24</v>
      </c>
      <c r="D18" t="s">
        <v>16</v>
      </c>
      <c r="E18" t="s">
        <v>12</v>
      </c>
      <c r="F18" t="s">
        <v>36</v>
      </c>
      <c r="G18">
        <v>4</v>
      </c>
      <c r="H18">
        <v>1200</v>
      </c>
      <c r="I18">
        <v>4800</v>
      </c>
      <c r="J18">
        <f>I18*0.3</f>
        <v>1440</v>
      </c>
    </row>
    <row r="19" spans="1:10" x14ac:dyDescent="0.3">
      <c r="A19" t="s">
        <v>92</v>
      </c>
      <c r="B19">
        <v>1099</v>
      </c>
      <c r="C19" t="s">
        <v>10</v>
      </c>
      <c r="D19" t="s">
        <v>11</v>
      </c>
      <c r="E19" t="s">
        <v>21</v>
      </c>
      <c r="F19" t="s">
        <v>13</v>
      </c>
      <c r="G19">
        <v>10</v>
      </c>
      <c r="H19">
        <v>450</v>
      </c>
      <c r="I19">
        <v>4500</v>
      </c>
      <c r="J19">
        <f>I19*0.3</f>
        <v>1350</v>
      </c>
    </row>
    <row r="20" spans="1:10" x14ac:dyDescent="0.3">
      <c r="A20" t="s">
        <v>33</v>
      </c>
      <c r="B20">
        <v>1110</v>
      </c>
      <c r="C20" t="s">
        <v>10</v>
      </c>
      <c r="D20" t="s">
        <v>11</v>
      </c>
      <c r="E20" t="s">
        <v>12</v>
      </c>
      <c r="F20" t="s">
        <v>13</v>
      </c>
      <c r="G20">
        <v>10</v>
      </c>
      <c r="H20">
        <v>450</v>
      </c>
      <c r="I20">
        <v>4500</v>
      </c>
      <c r="J20">
        <f>I20*0.3</f>
        <v>1350</v>
      </c>
    </row>
    <row r="21" spans="1:10" x14ac:dyDescent="0.3">
      <c r="A21" t="s">
        <v>98</v>
      </c>
      <c r="B21">
        <v>1218</v>
      </c>
      <c r="C21" t="s">
        <v>10</v>
      </c>
      <c r="D21" t="s">
        <v>11</v>
      </c>
      <c r="E21" t="s">
        <v>25</v>
      </c>
      <c r="F21" t="s">
        <v>18</v>
      </c>
      <c r="G21">
        <v>10</v>
      </c>
      <c r="H21">
        <v>450</v>
      </c>
      <c r="I21">
        <v>4500</v>
      </c>
      <c r="J21">
        <f>I21*0.3</f>
        <v>1350</v>
      </c>
    </row>
    <row r="22" spans="1:10" x14ac:dyDescent="0.3">
      <c r="A22" t="s">
        <v>53</v>
      </c>
      <c r="B22">
        <v>1028</v>
      </c>
      <c r="C22" t="s">
        <v>10</v>
      </c>
      <c r="D22" t="s">
        <v>11</v>
      </c>
      <c r="E22" t="s">
        <v>17</v>
      </c>
      <c r="F22" t="s">
        <v>13</v>
      </c>
      <c r="G22">
        <v>9</v>
      </c>
      <c r="H22">
        <v>450</v>
      </c>
      <c r="I22">
        <v>4050</v>
      </c>
      <c r="J22">
        <f>I22*0.3</f>
        <v>1215</v>
      </c>
    </row>
    <row r="23" spans="1:10" x14ac:dyDescent="0.3">
      <c r="A23" t="s">
        <v>23</v>
      </c>
      <c r="B23">
        <v>1201</v>
      </c>
      <c r="C23" t="s">
        <v>10</v>
      </c>
      <c r="D23" t="s">
        <v>11</v>
      </c>
      <c r="E23" t="s">
        <v>17</v>
      </c>
      <c r="F23" t="s">
        <v>18</v>
      </c>
      <c r="G23">
        <v>9</v>
      </c>
      <c r="H23">
        <v>450</v>
      </c>
      <c r="I23">
        <v>4050</v>
      </c>
      <c r="J23">
        <f>I23*0.3</f>
        <v>1215</v>
      </c>
    </row>
    <row r="24" spans="1:10" x14ac:dyDescent="0.3">
      <c r="A24" t="s">
        <v>57</v>
      </c>
      <c r="B24">
        <v>1168</v>
      </c>
      <c r="C24" t="s">
        <v>10</v>
      </c>
      <c r="D24" t="s">
        <v>11</v>
      </c>
      <c r="E24" t="s">
        <v>25</v>
      </c>
      <c r="F24" t="s">
        <v>22</v>
      </c>
      <c r="G24">
        <v>9</v>
      </c>
      <c r="H24">
        <v>450</v>
      </c>
      <c r="I24">
        <v>4050</v>
      </c>
      <c r="J24">
        <f>I24*0.3</f>
        <v>1215</v>
      </c>
    </row>
    <row r="25" spans="1:10" x14ac:dyDescent="0.3">
      <c r="A25" t="s">
        <v>40</v>
      </c>
      <c r="B25">
        <v>1174</v>
      </c>
      <c r="C25" t="s">
        <v>10</v>
      </c>
      <c r="D25" t="s">
        <v>11</v>
      </c>
      <c r="E25" t="s">
        <v>17</v>
      </c>
      <c r="F25" t="s">
        <v>26</v>
      </c>
      <c r="G25">
        <v>8</v>
      </c>
      <c r="H25">
        <v>450</v>
      </c>
      <c r="I25">
        <v>3600</v>
      </c>
      <c r="J25">
        <f>I25*0.3</f>
        <v>1080</v>
      </c>
    </row>
    <row r="26" spans="1:10" x14ac:dyDescent="0.3">
      <c r="A26" t="s">
        <v>106</v>
      </c>
      <c r="B26">
        <v>1202</v>
      </c>
      <c r="C26" t="s">
        <v>10</v>
      </c>
      <c r="D26" t="s">
        <v>11</v>
      </c>
      <c r="E26" t="s">
        <v>12</v>
      </c>
      <c r="F26" t="s">
        <v>22</v>
      </c>
      <c r="G26">
        <v>8</v>
      </c>
      <c r="H26">
        <v>450</v>
      </c>
      <c r="I26">
        <v>3600</v>
      </c>
      <c r="J26">
        <f>I26*0.3</f>
        <v>1080</v>
      </c>
    </row>
    <row r="27" spans="1:10" x14ac:dyDescent="0.3">
      <c r="A27" t="s">
        <v>99</v>
      </c>
      <c r="B27">
        <v>1133</v>
      </c>
      <c r="C27" t="s">
        <v>49</v>
      </c>
      <c r="D27" t="s">
        <v>16</v>
      </c>
      <c r="E27" t="s">
        <v>12</v>
      </c>
      <c r="F27" t="s">
        <v>22</v>
      </c>
      <c r="G27">
        <v>10</v>
      </c>
      <c r="H27">
        <v>350</v>
      </c>
      <c r="I27">
        <v>3500</v>
      </c>
      <c r="J27">
        <f>I27*0.3</f>
        <v>1050</v>
      </c>
    </row>
    <row r="28" spans="1:10" x14ac:dyDescent="0.3">
      <c r="A28" t="s">
        <v>68</v>
      </c>
      <c r="B28">
        <v>1059</v>
      </c>
      <c r="C28" t="s">
        <v>10</v>
      </c>
      <c r="D28" t="s">
        <v>11</v>
      </c>
      <c r="E28" t="s">
        <v>17</v>
      </c>
      <c r="F28" t="s">
        <v>36</v>
      </c>
      <c r="G28">
        <v>7</v>
      </c>
      <c r="H28">
        <v>450</v>
      </c>
      <c r="I28">
        <v>3150</v>
      </c>
      <c r="J28">
        <f>I28*0.3</f>
        <v>945</v>
      </c>
    </row>
    <row r="29" spans="1:10" x14ac:dyDescent="0.3">
      <c r="A29" t="s">
        <v>75</v>
      </c>
      <c r="B29">
        <v>1070</v>
      </c>
      <c r="C29" t="s">
        <v>10</v>
      </c>
      <c r="D29" t="s">
        <v>11</v>
      </c>
      <c r="E29" t="s">
        <v>12</v>
      </c>
      <c r="F29" t="s">
        <v>30</v>
      </c>
      <c r="G29">
        <v>7</v>
      </c>
      <c r="H29">
        <v>450</v>
      </c>
      <c r="I29">
        <v>3150</v>
      </c>
      <c r="J29">
        <f>I29*0.3</f>
        <v>945</v>
      </c>
    </row>
    <row r="30" spans="1:10" x14ac:dyDescent="0.3">
      <c r="A30" t="s">
        <v>98</v>
      </c>
      <c r="B30">
        <v>1127</v>
      </c>
      <c r="C30" t="s">
        <v>49</v>
      </c>
      <c r="D30" t="s">
        <v>16</v>
      </c>
      <c r="E30" t="s">
        <v>21</v>
      </c>
      <c r="F30" t="s">
        <v>13</v>
      </c>
      <c r="G30">
        <v>9</v>
      </c>
      <c r="H30">
        <v>350</v>
      </c>
      <c r="I30">
        <v>3150</v>
      </c>
      <c r="J30">
        <f>I30*0.3</f>
        <v>945</v>
      </c>
    </row>
    <row r="31" spans="1:10" x14ac:dyDescent="0.3">
      <c r="A31" t="s">
        <v>83</v>
      </c>
      <c r="B31">
        <v>1130</v>
      </c>
      <c r="C31" t="s">
        <v>32</v>
      </c>
      <c r="D31" t="s">
        <v>11</v>
      </c>
      <c r="E31" t="s">
        <v>25</v>
      </c>
      <c r="F31" t="s">
        <v>22</v>
      </c>
      <c r="G31">
        <v>10</v>
      </c>
      <c r="H31">
        <v>300</v>
      </c>
      <c r="I31">
        <v>3000</v>
      </c>
      <c r="J31">
        <f>I31*0.3</f>
        <v>900</v>
      </c>
    </row>
    <row r="32" spans="1:10" x14ac:dyDescent="0.3">
      <c r="A32" t="s">
        <v>72</v>
      </c>
      <c r="B32">
        <v>1146</v>
      </c>
      <c r="C32" t="s">
        <v>32</v>
      </c>
      <c r="D32" t="s">
        <v>11</v>
      </c>
      <c r="E32" t="s">
        <v>21</v>
      </c>
      <c r="F32" t="s">
        <v>22</v>
      </c>
      <c r="G32">
        <v>10</v>
      </c>
      <c r="H32">
        <v>300</v>
      </c>
      <c r="I32">
        <v>3000</v>
      </c>
      <c r="J32">
        <f>I32*0.3</f>
        <v>900</v>
      </c>
    </row>
    <row r="33" spans="1:10" x14ac:dyDescent="0.3">
      <c r="A33" t="s">
        <v>66</v>
      </c>
      <c r="B33">
        <v>1160</v>
      </c>
      <c r="C33" t="s">
        <v>32</v>
      </c>
      <c r="D33" t="s">
        <v>11</v>
      </c>
      <c r="E33" t="s">
        <v>21</v>
      </c>
      <c r="F33" t="s">
        <v>13</v>
      </c>
      <c r="G33">
        <v>10</v>
      </c>
      <c r="H33">
        <v>300</v>
      </c>
      <c r="I33">
        <v>3000</v>
      </c>
      <c r="J33">
        <f>I33*0.3</f>
        <v>900</v>
      </c>
    </row>
    <row r="34" spans="1:10" x14ac:dyDescent="0.3">
      <c r="A34" t="s">
        <v>60</v>
      </c>
      <c r="B34">
        <v>1164</v>
      </c>
      <c r="C34" t="s">
        <v>32</v>
      </c>
      <c r="D34" t="s">
        <v>11</v>
      </c>
      <c r="E34" t="s">
        <v>21</v>
      </c>
      <c r="F34" t="s">
        <v>30</v>
      </c>
      <c r="G34">
        <v>10</v>
      </c>
      <c r="H34">
        <v>300</v>
      </c>
      <c r="I34">
        <v>3000</v>
      </c>
      <c r="J34">
        <f>I34*0.3</f>
        <v>900</v>
      </c>
    </row>
    <row r="35" spans="1:10" x14ac:dyDescent="0.3">
      <c r="A35" t="s">
        <v>66</v>
      </c>
      <c r="B35">
        <v>1053</v>
      </c>
      <c r="C35" t="s">
        <v>49</v>
      </c>
      <c r="D35" t="s">
        <v>16</v>
      </c>
      <c r="E35" t="s">
        <v>21</v>
      </c>
      <c r="F35" t="s">
        <v>18</v>
      </c>
      <c r="G35">
        <v>8</v>
      </c>
      <c r="H35">
        <v>350</v>
      </c>
      <c r="I35">
        <v>2800</v>
      </c>
      <c r="J35">
        <f>I35*0.3</f>
        <v>840</v>
      </c>
    </row>
    <row r="36" spans="1:10" x14ac:dyDescent="0.3">
      <c r="A36" t="s">
        <v>34</v>
      </c>
      <c r="B36">
        <v>1103</v>
      </c>
      <c r="C36" t="s">
        <v>49</v>
      </c>
      <c r="D36" t="s">
        <v>16</v>
      </c>
      <c r="E36" t="s">
        <v>12</v>
      </c>
      <c r="F36" t="s">
        <v>26</v>
      </c>
      <c r="G36">
        <v>8</v>
      </c>
      <c r="H36">
        <v>350</v>
      </c>
      <c r="I36">
        <v>2800</v>
      </c>
      <c r="J36">
        <f>I36*0.3</f>
        <v>840</v>
      </c>
    </row>
    <row r="37" spans="1:10" x14ac:dyDescent="0.3">
      <c r="A37" t="s">
        <v>47</v>
      </c>
      <c r="B37">
        <v>1143</v>
      </c>
      <c r="C37" t="s">
        <v>49</v>
      </c>
      <c r="D37" t="s">
        <v>16</v>
      </c>
      <c r="E37" t="s">
        <v>25</v>
      </c>
      <c r="F37" t="s">
        <v>13</v>
      </c>
      <c r="G37">
        <v>8</v>
      </c>
      <c r="H37">
        <v>350</v>
      </c>
      <c r="I37">
        <v>2800</v>
      </c>
      <c r="J37">
        <f>I37*0.3</f>
        <v>840</v>
      </c>
    </row>
    <row r="38" spans="1:10" x14ac:dyDescent="0.3">
      <c r="A38" t="s">
        <v>86</v>
      </c>
      <c r="B38">
        <v>1172</v>
      </c>
      <c r="C38" t="s">
        <v>49</v>
      </c>
      <c r="D38" t="s">
        <v>16</v>
      </c>
      <c r="E38" t="s">
        <v>21</v>
      </c>
      <c r="F38" t="s">
        <v>13</v>
      </c>
      <c r="G38">
        <v>8</v>
      </c>
      <c r="H38">
        <v>350</v>
      </c>
      <c r="I38">
        <v>2800</v>
      </c>
      <c r="J38">
        <f>I38*0.3</f>
        <v>840</v>
      </c>
    </row>
    <row r="39" spans="1:10" x14ac:dyDescent="0.3">
      <c r="A39" t="s">
        <v>71</v>
      </c>
      <c r="B39">
        <v>1062</v>
      </c>
      <c r="C39" t="s">
        <v>49</v>
      </c>
      <c r="D39" t="s">
        <v>16</v>
      </c>
      <c r="E39" t="s">
        <v>17</v>
      </c>
      <c r="F39" t="s">
        <v>26</v>
      </c>
      <c r="G39">
        <v>8</v>
      </c>
      <c r="H39">
        <v>350</v>
      </c>
      <c r="I39">
        <v>2800</v>
      </c>
      <c r="J39">
        <f>I39*0.3</f>
        <v>840</v>
      </c>
    </row>
    <row r="40" spans="1:10" x14ac:dyDescent="0.3">
      <c r="A40" t="s">
        <v>110</v>
      </c>
      <c r="B40">
        <v>1217</v>
      </c>
      <c r="C40" t="s">
        <v>49</v>
      </c>
      <c r="D40" t="s">
        <v>16</v>
      </c>
      <c r="E40" t="s">
        <v>17</v>
      </c>
      <c r="F40" t="s">
        <v>22</v>
      </c>
      <c r="G40">
        <v>8</v>
      </c>
      <c r="H40">
        <v>350</v>
      </c>
      <c r="I40">
        <v>2800</v>
      </c>
      <c r="J40">
        <f>I40*0.3</f>
        <v>840</v>
      </c>
    </row>
    <row r="41" spans="1:10" x14ac:dyDescent="0.3">
      <c r="A41" t="s">
        <v>46</v>
      </c>
      <c r="B41">
        <v>1117</v>
      </c>
      <c r="C41" t="s">
        <v>10</v>
      </c>
      <c r="D41" t="s">
        <v>11</v>
      </c>
      <c r="E41" t="s">
        <v>12</v>
      </c>
      <c r="F41" t="s">
        <v>13</v>
      </c>
      <c r="G41">
        <v>6</v>
      </c>
      <c r="H41">
        <v>450</v>
      </c>
      <c r="I41">
        <v>2700</v>
      </c>
      <c r="J41">
        <f>I41*0.3</f>
        <v>810</v>
      </c>
    </row>
    <row r="42" spans="1:10" x14ac:dyDescent="0.3">
      <c r="A42" t="s">
        <v>57</v>
      </c>
      <c r="B42">
        <v>1182</v>
      </c>
      <c r="C42" t="s">
        <v>10</v>
      </c>
      <c r="D42" t="s">
        <v>11</v>
      </c>
      <c r="E42" t="s">
        <v>12</v>
      </c>
      <c r="F42" t="s">
        <v>22</v>
      </c>
      <c r="G42">
        <v>6</v>
      </c>
      <c r="H42">
        <v>450</v>
      </c>
      <c r="I42">
        <v>2700</v>
      </c>
      <c r="J42">
        <f>I42*0.3</f>
        <v>810</v>
      </c>
    </row>
    <row r="43" spans="1:10" x14ac:dyDescent="0.3">
      <c r="A43" t="s">
        <v>33</v>
      </c>
      <c r="B43">
        <v>1008</v>
      </c>
      <c r="C43" t="s">
        <v>20</v>
      </c>
      <c r="D43" t="s">
        <v>16</v>
      </c>
      <c r="E43" t="s">
        <v>12</v>
      </c>
      <c r="F43" t="s">
        <v>13</v>
      </c>
      <c r="G43">
        <v>10</v>
      </c>
      <c r="H43">
        <v>250</v>
      </c>
      <c r="I43">
        <v>2500</v>
      </c>
      <c r="J43">
        <f>I43*0.3</f>
        <v>750</v>
      </c>
    </row>
    <row r="44" spans="1:10" x14ac:dyDescent="0.3">
      <c r="A44" t="s">
        <v>39</v>
      </c>
      <c r="B44">
        <v>1012</v>
      </c>
      <c r="C44" t="s">
        <v>20</v>
      </c>
      <c r="D44" t="s">
        <v>16</v>
      </c>
      <c r="E44" t="s">
        <v>25</v>
      </c>
      <c r="F44" t="s">
        <v>13</v>
      </c>
      <c r="G44">
        <v>10</v>
      </c>
      <c r="H44">
        <v>250</v>
      </c>
      <c r="I44">
        <v>2500</v>
      </c>
      <c r="J44">
        <f>I44*0.3</f>
        <v>750</v>
      </c>
    </row>
    <row r="45" spans="1:10" x14ac:dyDescent="0.3">
      <c r="A45" t="s">
        <v>46</v>
      </c>
      <c r="B45">
        <v>1054</v>
      </c>
      <c r="C45" t="s">
        <v>49</v>
      </c>
      <c r="D45" t="s">
        <v>16</v>
      </c>
      <c r="E45" t="s">
        <v>12</v>
      </c>
      <c r="F45" t="s">
        <v>13</v>
      </c>
      <c r="G45">
        <v>7</v>
      </c>
      <c r="H45">
        <v>350</v>
      </c>
      <c r="I45">
        <v>2450</v>
      </c>
      <c r="J45">
        <f>I45*0.3</f>
        <v>735</v>
      </c>
    </row>
    <row r="46" spans="1:10" x14ac:dyDescent="0.3">
      <c r="A46" t="s">
        <v>80</v>
      </c>
      <c r="B46">
        <v>1079</v>
      </c>
      <c r="C46" t="s">
        <v>49</v>
      </c>
      <c r="D46" t="s">
        <v>16</v>
      </c>
      <c r="E46" t="s">
        <v>17</v>
      </c>
      <c r="F46" t="s">
        <v>13</v>
      </c>
      <c r="G46">
        <v>7</v>
      </c>
      <c r="H46">
        <v>350</v>
      </c>
      <c r="I46">
        <v>2450</v>
      </c>
      <c r="J46">
        <f>I46*0.3</f>
        <v>735</v>
      </c>
    </row>
    <row r="47" spans="1:10" x14ac:dyDescent="0.3">
      <c r="A47" t="s">
        <v>45</v>
      </c>
      <c r="B47">
        <v>1017</v>
      </c>
      <c r="C47" t="s">
        <v>32</v>
      </c>
      <c r="D47" t="s">
        <v>11</v>
      </c>
      <c r="E47" t="s">
        <v>21</v>
      </c>
      <c r="F47" t="s">
        <v>36</v>
      </c>
      <c r="G47">
        <v>8</v>
      </c>
      <c r="H47">
        <v>300</v>
      </c>
      <c r="I47">
        <v>2400</v>
      </c>
      <c r="J47">
        <f>I47*0.3</f>
        <v>720</v>
      </c>
    </row>
    <row r="48" spans="1:10" x14ac:dyDescent="0.3">
      <c r="A48" t="s">
        <v>9</v>
      </c>
      <c r="B48">
        <v>1112</v>
      </c>
      <c r="C48" t="s">
        <v>32</v>
      </c>
      <c r="D48" t="s">
        <v>11</v>
      </c>
      <c r="E48" t="s">
        <v>21</v>
      </c>
      <c r="F48" t="s">
        <v>26</v>
      </c>
      <c r="G48">
        <v>8</v>
      </c>
      <c r="H48">
        <v>300</v>
      </c>
      <c r="I48">
        <v>2400</v>
      </c>
      <c r="J48">
        <f>I48*0.3</f>
        <v>720</v>
      </c>
    </row>
    <row r="49" spans="1:10" x14ac:dyDescent="0.3">
      <c r="A49" t="s">
        <v>39</v>
      </c>
      <c r="B49">
        <v>1029</v>
      </c>
      <c r="C49" t="s">
        <v>24</v>
      </c>
      <c r="D49" t="s">
        <v>16</v>
      </c>
      <c r="E49" t="s">
        <v>25</v>
      </c>
      <c r="F49" t="s">
        <v>36</v>
      </c>
      <c r="G49">
        <v>2</v>
      </c>
      <c r="H49">
        <v>1200</v>
      </c>
      <c r="I49">
        <v>2400</v>
      </c>
      <c r="J49">
        <f>I49*0.3</f>
        <v>720</v>
      </c>
    </row>
    <row r="50" spans="1:10" x14ac:dyDescent="0.3">
      <c r="A50" t="s">
        <v>34</v>
      </c>
      <c r="B50">
        <v>1181</v>
      </c>
      <c r="C50" t="s">
        <v>24</v>
      </c>
      <c r="D50" t="s">
        <v>16</v>
      </c>
      <c r="E50" t="s">
        <v>25</v>
      </c>
      <c r="F50" t="s">
        <v>22</v>
      </c>
      <c r="G50">
        <v>2</v>
      </c>
      <c r="H50">
        <v>1200</v>
      </c>
      <c r="I50">
        <v>2400</v>
      </c>
      <c r="J50">
        <f>I50*0.3</f>
        <v>720</v>
      </c>
    </row>
    <row r="51" spans="1:10" x14ac:dyDescent="0.3">
      <c r="A51" t="s">
        <v>70</v>
      </c>
      <c r="B51">
        <v>1061</v>
      </c>
      <c r="C51" t="s">
        <v>10</v>
      </c>
      <c r="D51" t="s">
        <v>11</v>
      </c>
      <c r="E51" t="s">
        <v>17</v>
      </c>
      <c r="F51" t="s">
        <v>36</v>
      </c>
      <c r="G51">
        <v>5</v>
      </c>
      <c r="H51">
        <v>450</v>
      </c>
      <c r="I51">
        <v>2250</v>
      </c>
      <c r="J51">
        <f>I51*0.3</f>
        <v>675</v>
      </c>
    </row>
    <row r="52" spans="1:10" x14ac:dyDescent="0.3">
      <c r="A52" t="s">
        <v>84</v>
      </c>
      <c r="B52">
        <v>1089</v>
      </c>
      <c r="C52" t="s">
        <v>20</v>
      </c>
      <c r="D52" t="s">
        <v>16</v>
      </c>
      <c r="E52" t="s">
        <v>25</v>
      </c>
      <c r="F52" t="s">
        <v>30</v>
      </c>
      <c r="G52">
        <v>9</v>
      </c>
      <c r="H52">
        <v>250</v>
      </c>
      <c r="I52">
        <v>2250</v>
      </c>
      <c r="J52">
        <f>I52*0.3</f>
        <v>675</v>
      </c>
    </row>
    <row r="53" spans="1:10" x14ac:dyDescent="0.3">
      <c r="A53" t="s">
        <v>96</v>
      </c>
      <c r="B53">
        <v>1124</v>
      </c>
      <c r="C53" t="s">
        <v>20</v>
      </c>
      <c r="D53" t="s">
        <v>16</v>
      </c>
      <c r="E53" t="s">
        <v>21</v>
      </c>
      <c r="F53" t="s">
        <v>22</v>
      </c>
      <c r="G53">
        <v>9</v>
      </c>
      <c r="H53">
        <v>250</v>
      </c>
      <c r="I53">
        <v>2250</v>
      </c>
      <c r="J53">
        <f>I53*0.3</f>
        <v>675</v>
      </c>
    </row>
    <row r="54" spans="1:10" x14ac:dyDescent="0.3">
      <c r="A54" t="s">
        <v>63</v>
      </c>
      <c r="B54">
        <v>1162</v>
      </c>
      <c r="C54" t="s">
        <v>10</v>
      </c>
      <c r="D54" t="s">
        <v>11</v>
      </c>
      <c r="E54" t="s">
        <v>12</v>
      </c>
      <c r="F54" t="s">
        <v>18</v>
      </c>
      <c r="G54">
        <v>5</v>
      </c>
      <c r="H54">
        <v>450</v>
      </c>
      <c r="I54">
        <v>2250</v>
      </c>
      <c r="J54">
        <f>I54*0.3</f>
        <v>675</v>
      </c>
    </row>
    <row r="55" spans="1:10" x14ac:dyDescent="0.3">
      <c r="A55" t="s">
        <v>53</v>
      </c>
      <c r="B55">
        <v>1049</v>
      </c>
      <c r="C55" t="s">
        <v>49</v>
      </c>
      <c r="D55" t="s">
        <v>16</v>
      </c>
      <c r="E55" t="s">
        <v>12</v>
      </c>
      <c r="F55" t="s">
        <v>13</v>
      </c>
      <c r="G55">
        <v>6</v>
      </c>
      <c r="H55">
        <v>350</v>
      </c>
      <c r="I55">
        <v>2100</v>
      </c>
      <c r="J55">
        <f>I55*0.3</f>
        <v>630</v>
      </c>
    </row>
    <row r="56" spans="1:10" x14ac:dyDescent="0.3">
      <c r="A56" t="s">
        <v>19</v>
      </c>
      <c r="B56">
        <v>1140</v>
      </c>
      <c r="C56" t="s">
        <v>32</v>
      </c>
      <c r="D56" t="s">
        <v>11</v>
      </c>
      <c r="E56" t="s">
        <v>25</v>
      </c>
      <c r="F56" t="s">
        <v>26</v>
      </c>
      <c r="G56">
        <v>7</v>
      </c>
      <c r="H56">
        <v>300</v>
      </c>
      <c r="I56">
        <v>2100</v>
      </c>
      <c r="J56">
        <f>I56*0.3</f>
        <v>630</v>
      </c>
    </row>
    <row r="57" spans="1:10" x14ac:dyDescent="0.3">
      <c r="A57" t="s">
        <v>74</v>
      </c>
      <c r="B57">
        <v>1199</v>
      </c>
      <c r="C57" t="s">
        <v>49</v>
      </c>
      <c r="D57" t="s">
        <v>16</v>
      </c>
      <c r="E57" t="s">
        <v>21</v>
      </c>
      <c r="F57" t="s">
        <v>18</v>
      </c>
      <c r="G57">
        <v>6</v>
      </c>
      <c r="H57">
        <v>350</v>
      </c>
      <c r="I57">
        <v>2100</v>
      </c>
      <c r="J57">
        <f>I57*0.3</f>
        <v>630</v>
      </c>
    </row>
    <row r="58" spans="1:10" x14ac:dyDescent="0.3">
      <c r="A58" t="s">
        <v>58</v>
      </c>
      <c r="B58">
        <v>1205</v>
      </c>
      <c r="C58" t="s">
        <v>49</v>
      </c>
      <c r="D58" t="s">
        <v>16</v>
      </c>
      <c r="E58" t="s">
        <v>12</v>
      </c>
      <c r="F58" t="s">
        <v>22</v>
      </c>
      <c r="G58">
        <v>6</v>
      </c>
      <c r="H58">
        <v>350</v>
      </c>
      <c r="I58">
        <v>2100</v>
      </c>
      <c r="J58">
        <f>I58*0.3</f>
        <v>630</v>
      </c>
    </row>
    <row r="59" spans="1:10" x14ac:dyDescent="0.3">
      <c r="A59" t="s">
        <v>47</v>
      </c>
      <c r="B59">
        <v>1050</v>
      </c>
      <c r="C59" t="s">
        <v>49</v>
      </c>
      <c r="D59" t="s">
        <v>16</v>
      </c>
      <c r="E59" t="s">
        <v>17</v>
      </c>
      <c r="F59" t="s">
        <v>36</v>
      </c>
      <c r="G59">
        <v>6</v>
      </c>
      <c r="H59">
        <v>350</v>
      </c>
      <c r="I59">
        <v>2100</v>
      </c>
      <c r="J59">
        <f>I59*0.3</f>
        <v>630</v>
      </c>
    </row>
    <row r="60" spans="1:10" x14ac:dyDescent="0.3">
      <c r="A60" t="s">
        <v>78</v>
      </c>
      <c r="B60">
        <v>1105</v>
      </c>
      <c r="C60" t="s">
        <v>49</v>
      </c>
      <c r="D60" t="s">
        <v>16</v>
      </c>
      <c r="E60" t="s">
        <v>17</v>
      </c>
      <c r="F60" t="s">
        <v>30</v>
      </c>
      <c r="G60">
        <v>6</v>
      </c>
      <c r="H60">
        <v>350</v>
      </c>
      <c r="I60">
        <v>2100</v>
      </c>
      <c r="J60">
        <f>I60*0.3</f>
        <v>630</v>
      </c>
    </row>
    <row r="61" spans="1:10" x14ac:dyDescent="0.3">
      <c r="A61" t="s">
        <v>28</v>
      </c>
      <c r="B61">
        <v>1006</v>
      </c>
      <c r="C61" t="s">
        <v>29</v>
      </c>
      <c r="D61" t="s">
        <v>11</v>
      </c>
      <c r="E61" t="s">
        <v>25</v>
      </c>
      <c r="F61" t="s">
        <v>30</v>
      </c>
      <c r="G61">
        <v>10</v>
      </c>
      <c r="H61">
        <v>200</v>
      </c>
      <c r="I61">
        <v>2000</v>
      </c>
      <c r="J61">
        <f>I61*0.3</f>
        <v>600</v>
      </c>
    </row>
    <row r="62" spans="1:10" x14ac:dyDescent="0.3">
      <c r="A62" t="s">
        <v>100</v>
      </c>
      <c r="B62">
        <v>1135</v>
      </c>
      <c r="C62" t="s">
        <v>20</v>
      </c>
      <c r="D62" t="s">
        <v>16</v>
      </c>
      <c r="E62" t="s">
        <v>12</v>
      </c>
      <c r="F62" t="s">
        <v>30</v>
      </c>
      <c r="G62">
        <v>8</v>
      </c>
      <c r="H62">
        <v>250</v>
      </c>
      <c r="I62">
        <v>2000</v>
      </c>
      <c r="J62">
        <f>I62*0.3</f>
        <v>600</v>
      </c>
    </row>
    <row r="63" spans="1:10" x14ac:dyDescent="0.3">
      <c r="A63" t="s">
        <v>60</v>
      </c>
      <c r="B63">
        <v>1210</v>
      </c>
      <c r="C63" t="s">
        <v>20</v>
      </c>
      <c r="D63" t="s">
        <v>16</v>
      </c>
      <c r="E63" t="s">
        <v>25</v>
      </c>
      <c r="F63" t="s">
        <v>18</v>
      </c>
      <c r="G63">
        <v>8</v>
      </c>
      <c r="H63">
        <v>250</v>
      </c>
      <c r="I63">
        <v>2000</v>
      </c>
      <c r="J63">
        <f>I63*0.3</f>
        <v>600</v>
      </c>
    </row>
    <row r="64" spans="1:10" x14ac:dyDescent="0.3">
      <c r="A64" t="s">
        <v>37</v>
      </c>
      <c r="B64">
        <v>1010</v>
      </c>
      <c r="C64" t="s">
        <v>32</v>
      </c>
      <c r="D64" t="s">
        <v>11</v>
      </c>
      <c r="E64" t="s">
        <v>25</v>
      </c>
      <c r="F64" t="s">
        <v>26</v>
      </c>
      <c r="G64">
        <v>6</v>
      </c>
      <c r="H64">
        <v>300</v>
      </c>
      <c r="I64">
        <v>1800</v>
      </c>
      <c r="J64">
        <f>I64*0.3</f>
        <v>540</v>
      </c>
    </row>
    <row r="65" spans="1:10" x14ac:dyDescent="0.3">
      <c r="A65" t="s">
        <v>57</v>
      </c>
      <c r="B65">
        <v>1035</v>
      </c>
      <c r="C65" t="s">
        <v>29</v>
      </c>
      <c r="D65" t="s">
        <v>11</v>
      </c>
      <c r="E65" t="s">
        <v>25</v>
      </c>
      <c r="F65" t="s">
        <v>30</v>
      </c>
      <c r="G65">
        <v>9</v>
      </c>
      <c r="H65">
        <v>200</v>
      </c>
      <c r="I65">
        <v>1800</v>
      </c>
      <c r="J65">
        <f>I65*0.3</f>
        <v>540</v>
      </c>
    </row>
    <row r="66" spans="1:10" x14ac:dyDescent="0.3">
      <c r="A66" t="s">
        <v>64</v>
      </c>
      <c r="B66">
        <v>1045</v>
      </c>
      <c r="C66" t="s">
        <v>10</v>
      </c>
      <c r="D66" t="s">
        <v>11</v>
      </c>
      <c r="E66" t="s">
        <v>21</v>
      </c>
      <c r="F66" t="s">
        <v>26</v>
      </c>
      <c r="G66">
        <v>4</v>
      </c>
      <c r="H66">
        <v>450</v>
      </c>
      <c r="I66">
        <v>1800</v>
      </c>
      <c r="J66">
        <f>I66*0.3</f>
        <v>540</v>
      </c>
    </row>
    <row r="67" spans="1:10" x14ac:dyDescent="0.3">
      <c r="A67" t="s">
        <v>90</v>
      </c>
      <c r="B67">
        <v>1097</v>
      </c>
      <c r="C67" t="s">
        <v>29</v>
      </c>
      <c r="D67" t="s">
        <v>11</v>
      </c>
      <c r="E67" t="s">
        <v>25</v>
      </c>
      <c r="F67" t="s">
        <v>26</v>
      </c>
      <c r="G67">
        <v>9</v>
      </c>
      <c r="H67">
        <v>200</v>
      </c>
      <c r="I67">
        <v>1800</v>
      </c>
      <c r="J67">
        <f>I67*0.3</f>
        <v>540</v>
      </c>
    </row>
    <row r="68" spans="1:10" x14ac:dyDescent="0.3">
      <c r="A68" t="s">
        <v>93</v>
      </c>
      <c r="B68">
        <v>1101</v>
      </c>
      <c r="C68" t="s">
        <v>29</v>
      </c>
      <c r="D68" t="s">
        <v>11</v>
      </c>
      <c r="E68" t="s">
        <v>25</v>
      </c>
      <c r="F68" t="s">
        <v>30</v>
      </c>
      <c r="G68">
        <v>9</v>
      </c>
      <c r="H68">
        <v>200</v>
      </c>
      <c r="I68">
        <v>1800</v>
      </c>
      <c r="J68">
        <f>I68*0.3</f>
        <v>540</v>
      </c>
    </row>
    <row r="69" spans="1:10" x14ac:dyDescent="0.3">
      <c r="A69" t="s">
        <v>84</v>
      </c>
      <c r="B69">
        <v>1139</v>
      </c>
      <c r="C69" t="s">
        <v>10</v>
      </c>
      <c r="D69" t="s">
        <v>11</v>
      </c>
      <c r="E69" t="s">
        <v>12</v>
      </c>
      <c r="F69" t="s">
        <v>30</v>
      </c>
      <c r="G69">
        <v>4</v>
      </c>
      <c r="H69">
        <v>450</v>
      </c>
      <c r="I69">
        <v>1800</v>
      </c>
      <c r="J69">
        <f>I69*0.3</f>
        <v>540</v>
      </c>
    </row>
    <row r="70" spans="1:10" x14ac:dyDescent="0.3">
      <c r="A70" t="s">
        <v>60</v>
      </c>
      <c r="B70">
        <v>1169</v>
      </c>
      <c r="C70" t="s">
        <v>29</v>
      </c>
      <c r="D70" t="s">
        <v>11</v>
      </c>
      <c r="E70" t="s">
        <v>25</v>
      </c>
      <c r="F70" t="s">
        <v>18</v>
      </c>
      <c r="G70">
        <v>9</v>
      </c>
      <c r="H70">
        <v>200</v>
      </c>
      <c r="I70">
        <v>1800</v>
      </c>
      <c r="J70">
        <f>I70*0.3</f>
        <v>540</v>
      </c>
    </row>
    <row r="71" spans="1:10" x14ac:dyDescent="0.3">
      <c r="A71" t="s">
        <v>9</v>
      </c>
      <c r="B71">
        <v>1019</v>
      </c>
      <c r="C71" t="s">
        <v>32</v>
      </c>
      <c r="D71" t="s">
        <v>11</v>
      </c>
      <c r="E71" t="s">
        <v>17</v>
      </c>
      <c r="F71" t="s">
        <v>18</v>
      </c>
      <c r="G71">
        <v>6</v>
      </c>
      <c r="H71">
        <v>300</v>
      </c>
      <c r="I71">
        <v>1800</v>
      </c>
      <c r="J71">
        <f>I71*0.3</f>
        <v>540</v>
      </c>
    </row>
    <row r="72" spans="1:10" x14ac:dyDescent="0.3">
      <c r="A72" t="s">
        <v>95</v>
      </c>
      <c r="B72">
        <v>1111</v>
      </c>
      <c r="C72" t="s">
        <v>32</v>
      </c>
      <c r="D72" t="s">
        <v>11</v>
      </c>
      <c r="E72" t="s">
        <v>17</v>
      </c>
      <c r="F72" t="s">
        <v>18</v>
      </c>
      <c r="G72">
        <v>6</v>
      </c>
      <c r="H72">
        <v>300</v>
      </c>
      <c r="I72">
        <v>1800</v>
      </c>
      <c r="J72">
        <f>I72*0.3</f>
        <v>540</v>
      </c>
    </row>
    <row r="73" spans="1:10" x14ac:dyDescent="0.3">
      <c r="A73" t="s">
        <v>46</v>
      </c>
      <c r="B73">
        <v>1020</v>
      </c>
      <c r="C73" t="s">
        <v>20</v>
      </c>
      <c r="D73" t="s">
        <v>16</v>
      </c>
      <c r="E73" t="s">
        <v>17</v>
      </c>
      <c r="F73" t="s">
        <v>36</v>
      </c>
      <c r="G73">
        <v>7</v>
      </c>
      <c r="H73">
        <v>250</v>
      </c>
      <c r="I73">
        <v>1750</v>
      </c>
      <c r="J73">
        <f>I73*0.3</f>
        <v>525</v>
      </c>
    </row>
    <row r="74" spans="1:10" x14ac:dyDescent="0.3">
      <c r="A74" t="s">
        <v>78</v>
      </c>
      <c r="B74">
        <v>1076</v>
      </c>
      <c r="C74" t="s">
        <v>20</v>
      </c>
      <c r="D74" t="s">
        <v>16</v>
      </c>
      <c r="E74" t="s">
        <v>25</v>
      </c>
      <c r="F74" t="s">
        <v>36</v>
      </c>
      <c r="G74">
        <v>7</v>
      </c>
      <c r="H74">
        <v>250</v>
      </c>
      <c r="I74">
        <v>1750</v>
      </c>
      <c r="J74">
        <f>I74*0.3</f>
        <v>525</v>
      </c>
    </row>
    <row r="75" spans="1:10" x14ac:dyDescent="0.3">
      <c r="A75" t="s">
        <v>88</v>
      </c>
      <c r="B75">
        <v>1151</v>
      </c>
      <c r="C75" t="s">
        <v>49</v>
      </c>
      <c r="D75" t="s">
        <v>16</v>
      </c>
      <c r="E75" t="s">
        <v>12</v>
      </c>
      <c r="F75" t="s">
        <v>30</v>
      </c>
      <c r="G75">
        <v>5</v>
      </c>
      <c r="H75">
        <v>350</v>
      </c>
      <c r="I75">
        <v>1750</v>
      </c>
      <c r="J75">
        <f>I75*0.3</f>
        <v>525</v>
      </c>
    </row>
    <row r="76" spans="1:10" x14ac:dyDescent="0.3">
      <c r="A76" t="s">
        <v>103</v>
      </c>
      <c r="B76">
        <v>1165</v>
      </c>
      <c r="C76" t="s">
        <v>20</v>
      </c>
      <c r="D76" t="s">
        <v>16</v>
      </c>
      <c r="E76" t="s">
        <v>25</v>
      </c>
      <c r="F76" t="s">
        <v>22</v>
      </c>
      <c r="G76">
        <v>7</v>
      </c>
      <c r="H76">
        <v>250</v>
      </c>
      <c r="I76">
        <v>1750</v>
      </c>
      <c r="J76">
        <f>I76*0.3</f>
        <v>525</v>
      </c>
    </row>
    <row r="77" spans="1:10" x14ac:dyDescent="0.3">
      <c r="A77" t="s">
        <v>91</v>
      </c>
      <c r="B77">
        <v>1155</v>
      </c>
      <c r="C77" t="s">
        <v>29</v>
      </c>
      <c r="D77" t="s">
        <v>11</v>
      </c>
      <c r="E77" t="s">
        <v>17</v>
      </c>
      <c r="F77" t="s">
        <v>13</v>
      </c>
      <c r="G77">
        <v>8</v>
      </c>
      <c r="H77">
        <v>200</v>
      </c>
      <c r="I77">
        <v>1600</v>
      </c>
      <c r="J77">
        <f>I77*0.3</f>
        <v>480</v>
      </c>
    </row>
    <row r="78" spans="1:10" x14ac:dyDescent="0.3">
      <c r="A78" t="s">
        <v>61</v>
      </c>
      <c r="B78">
        <v>1069</v>
      </c>
      <c r="C78" t="s">
        <v>29</v>
      </c>
      <c r="D78" t="s">
        <v>11</v>
      </c>
      <c r="E78" t="s">
        <v>21</v>
      </c>
      <c r="F78" t="s">
        <v>30</v>
      </c>
      <c r="G78">
        <v>8</v>
      </c>
      <c r="H78">
        <v>200</v>
      </c>
      <c r="I78">
        <v>1600</v>
      </c>
      <c r="J78">
        <f>I78*0.3</f>
        <v>480</v>
      </c>
    </row>
    <row r="79" spans="1:10" x14ac:dyDescent="0.3">
      <c r="A79" t="s">
        <v>94</v>
      </c>
      <c r="B79">
        <v>1108</v>
      </c>
      <c r="C79" t="s">
        <v>15</v>
      </c>
      <c r="D79" t="s">
        <v>16</v>
      </c>
      <c r="E79" t="s">
        <v>17</v>
      </c>
      <c r="F79" t="s">
        <v>36</v>
      </c>
      <c r="G79">
        <v>10</v>
      </c>
      <c r="H79">
        <v>150</v>
      </c>
      <c r="I79">
        <v>1500</v>
      </c>
      <c r="J79">
        <f>I79*0.3</f>
        <v>450</v>
      </c>
    </row>
    <row r="80" spans="1:10" x14ac:dyDescent="0.3">
      <c r="A80" t="s">
        <v>19</v>
      </c>
      <c r="B80">
        <v>1003</v>
      </c>
      <c r="C80" t="s">
        <v>20</v>
      </c>
      <c r="D80" t="s">
        <v>16</v>
      </c>
      <c r="E80" t="s">
        <v>21</v>
      </c>
      <c r="F80" t="s">
        <v>22</v>
      </c>
      <c r="G80">
        <v>6</v>
      </c>
      <c r="H80">
        <v>250</v>
      </c>
      <c r="I80">
        <v>1500</v>
      </c>
      <c r="J80">
        <f>I80*0.3</f>
        <v>450</v>
      </c>
    </row>
    <row r="81" spans="1:10" x14ac:dyDescent="0.3">
      <c r="A81" t="s">
        <v>31</v>
      </c>
      <c r="B81">
        <v>1007</v>
      </c>
      <c r="C81" t="s">
        <v>32</v>
      </c>
      <c r="D81" t="s">
        <v>11</v>
      </c>
      <c r="E81" t="s">
        <v>25</v>
      </c>
      <c r="F81" t="s">
        <v>26</v>
      </c>
      <c r="G81">
        <v>5</v>
      </c>
      <c r="H81">
        <v>300</v>
      </c>
      <c r="I81">
        <v>1500</v>
      </c>
      <c r="J81">
        <f>I81*0.3</f>
        <v>450</v>
      </c>
    </row>
    <row r="82" spans="1:10" x14ac:dyDescent="0.3">
      <c r="A82" t="s">
        <v>55</v>
      </c>
      <c r="B82">
        <v>1033</v>
      </c>
      <c r="C82" t="s">
        <v>32</v>
      </c>
      <c r="D82" t="s">
        <v>11</v>
      </c>
      <c r="E82" t="s">
        <v>25</v>
      </c>
      <c r="F82" t="s">
        <v>26</v>
      </c>
      <c r="G82">
        <v>5</v>
      </c>
      <c r="H82">
        <v>300</v>
      </c>
      <c r="I82">
        <v>1500</v>
      </c>
      <c r="J82">
        <f>I82*0.3</f>
        <v>450</v>
      </c>
    </row>
    <row r="83" spans="1:10" x14ac:dyDescent="0.3">
      <c r="A83" t="s">
        <v>67</v>
      </c>
      <c r="B83">
        <v>1066</v>
      </c>
      <c r="C83" t="s">
        <v>15</v>
      </c>
      <c r="D83" t="s">
        <v>16</v>
      </c>
      <c r="E83" t="s">
        <v>12</v>
      </c>
      <c r="F83" t="s">
        <v>18</v>
      </c>
      <c r="G83">
        <v>10</v>
      </c>
      <c r="H83">
        <v>150</v>
      </c>
      <c r="I83">
        <v>1500</v>
      </c>
      <c r="J83">
        <f>I83*0.3</f>
        <v>450</v>
      </c>
    </row>
    <row r="84" spans="1:10" x14ac:dyDescent="0.3">
      <c r="A84" t="s">
        <v>56</v>
      </c>
      <c r="B84">
        <v>1114</v>
      </c>
      <c r="C84" t="s">
        <v>20</v>
      </c>
      <c r="D84" t="s">
        <v>16</v>
      </c>
      <c r="E84" t="s">
        <v>25</v>
      </c>
      <c r="F84" t="s">
        <v>13</v>
      </c>
      <c r="G84">
        <v>6</v>
      </c>
      <c r="H84">
        <v>250</v>
      </c>
      <c r="I84">
        <v>1500</v>
      </c>
      <c r="J84">
        <f>I84*0.3</f>
        <v>450</v>
      </c>
    </row>
    <row r="85" spans="1:10" x14ac:dyDescent="0.3">
      <c r="A85" t="s">
        <v>97</v>
      </c>
      <c r="B85">
        <v>1126</v>
      </c>
      <c r="C85" t="s">
        <v>32</v>
      </c>
      <c r="D85" t="s">
        <v>11</v>
      </c>
      <c r="E85" t="s">
        <v>21</v>
      </c>
      <c r="F85" t="s">
        <v>36</v>
      </c>
      <c r="G85">
        <v>5</v>
      </c>
      <c r="H85">
        <v>300</v>
      </c>
      <c r="I85">
        <v>1500</v>
      </c>
      <c r="J85">
        <f>I85*0.3</f>
        <v>450</v>
      </c>
    </row>
    <row r="86" spans="1:10" x14ac:dyDescent="0.3">
      <c r="A86" t="s">
        <v>50</v>
      </c>
      <c r="B86">
        <v>1063</v>
      </c>
      <c r="C86" t="s">
        <v>29</v>
      </c>
      <c r="D86" t="s">
        <v>11</v>
      </c>
      <c r="E86" t="s">
        <v>12</v>
      </c>
      <c r="F86" t="s">
        <v>36</v>
      </c>
      <c r="G86">
        <v>7</v>
      </c>
      <c r="H86">
        <v>200</v>
      </c>
      <c r="I86">
        <v>1400</v>
      </c>
      <c r="J86">
        <f>I86*0.3</f>
        <v>420</v>
      </c>
    </row>
    <row r="87" spans="1:10" x14ac:dyDescent="0.3">
      <c r="A87" t="s">
        <v>104</v>
      </c>
      <c r="B87">
        <v>1175</v>
      </c>
      <c r="C87" t="s">
        <v>29</v>
      </c>
      <c r="D87" t="s">
        <v>11</v>
      </c>
      <c r="E87" t="s">
        <v>21</v>
      </c>
      <c r="F87" t="s">
        <v>13</v>
      </c>
      <c r="G87">
        <v>7</v>
      </c>
      <c r="H87">
        <v>200</v>
      </c>
      <c r="I87">
        <v>1400</v>
      </c>
      <c r="J87">
        <f>I87*0.3</f>
        <v>420</v>
      </c>
    </row>
    <row r="88" spans="1:10" x14ac:dyDescent="0.3">
      <c r="A88" t="s">
        <v>63</v>
      </c>
      <c r="B88">
        <v>1219</v>
      </c>
      <c r="C88" t="s">
        <v>29</v>
      </c>
      <c r="D88" t="s">
        <v>11</v>
      </c>
      <c r="E88" t="s">
        <v>12</v>
      </c>
      <c r="F88" t="s">
        <v>30</v>
      </c>
      <c r="G88">
        <v>7</v>
      </c>
      <c r="H88">
        <v>200</v>
      </c>
      <c r="I88">
        <v>1400</v>
      </c>
      <c r="J88">
        <f>I88*0.3</f>
        <v>420</v>
      </c>
    </row>
    <row r="89" spans="1:10" x14ac:dyDescent="0.3">
      <c r="A89" t="s">
        <v>9</v>
      </c>
      <c r="B89">
        <v>1001</v>
      </c>
      <c r="C89" t="s">
        <v>10</v>
      </c>
      <c r="D89" t="s">
        <v>11</v>
      </c>
      <c r="E89" t="s">
        <v>12</v>
      </c>
      <c r="F89" t="s">
        <v>13</v>
      </c>
      <c r="G89">
        <v>3</v>
      </c>
      <c r="H89">
        <v>450</v>
      </c>
      <c r="I89">
        <v>1350</v>
      </c>
      <c r="J89">
        <f>I89*0.3</f>
        <v>405</v>
      </c>
    </row>
    <row r="90" spans="1:10" x14ac:dyDescent="0.3">
      <c r="A90" t="s">
        <v>51</v>
      </c>
      <c r="B90">
        <v>1026</v>
      </c>
      <c r="C90" t="s">
        <v>15</v>
      </c>
      <c r="D90" t="s">
        <v>16</v>
      </c>
      <c r="E90" t="s">
        <v>12</v>
      </c>
      <c r="F90" t="s">
        <v>30</v>
      </c>
      <c r="G90">
        <v>9</v>
      </c>
      <c r="H90">
        <v>150</v>
      </c>
      <c r="I90">
        <v>1350</v>
      </c>
      <c r="J90">
        <f>I90*0.3</f>
        <v>405</v>
      </c>
    </row>
    <row r="91" spans="1:10" x14ac:dyDescent="0.3">
      <c r="A91" t="s">
        <v>34</v>
      </c>
      <c r="B91">
        <v>1030</v>
      </c>
      <c r="C91" t="s">
        <v>15</v>
      </c>
      <c r="D91" t="s">
        <v>16</v>
      </c>
      <c r="E91" t="s">
        <v>25</v>
      </c>
      <c r="F91" t="s">
        <v>18</v>
      </c>
      <c r="G91">
        <v>9</v>
      </c>
      <c r="H91">
        <v>150</v>
      </c>
      <c r="I91">
        <v>1350</v>
      </c>
      <c r="J91">
        <f>I91*0.3</f>
        <v>405</v>
      </c>
    </row>
    <row r="92" spans="1:10" x14ac:dyDescent="0.3">
      <c r="A92" t="s">
        <v>54</v>
      </c>
      <c r="B92">
        <v>1051</v>
      </c>
      <c r="C92" t="s">
        <v>10</v>
      </c>
      <c r="D92" t="s">
        <v>11</v>
      </c>
      <c r="E92" t="s">
        <v>21</v>
      </c>
      <c r="F92" t="s">
        <v>30</v>
      </c>
      <c r="G92">
        <v>3</v>
      </c>
      <c r="H92">
        <v>450</v>
      </c>
      <c r="I92">
        <v>1350</v>
      </c>
      <c r="J92">
        <f>I92*0.3</f>
        <v>405</v>
      </c>
    </row>
    <row r="93" spans="1:10" x14ac:dyDescent="0.3">
      <c r="A93" t="s">
        <v>85</v>
      </c>
      <c r="B93">
        <v>1090</v>
      </c>
      <c r="C93" t="s">
        <v>15</v>
      </c>
      <c r="D93" t="s">
        <v>16</v>
      </c>
      <c r="E93" t="s">
        <v>25</v>
      </c>
      <c r="F93" t="s">
        <v>36</v>
      </c>
      <c r="G93">
        <v>9</v>
      </c>
      <c r="H93">
        <v>150</v>
      </c>
      <c r="I93">
        <v>1350</v>
      </c>
      <c r="J93">
        <f>I93*0.3</f>
        <v>405</v>
      </c>
    </row>
    <row r="94" spans="1:10" x14ac:dyDescent="0.3">
      <c r="A94" t="s">
        <v>55</v>
      </c>
      <c r="B94">
        <v>1188</v>
      </c>
      <c r="C94" t="s">
        <v>15</v>
      </c>
      <c r="D94" t="s">
        <v>16</v>
      </c>
      <c r="E94" t="s">
        <v>21</v>
      </c>
      <c r="F94" t="s">
        <v>18</v>
      </c>
      <c r="G94">
        <v>9</v>
      </c>
      <c r="H94">
        <v>150</v>
      </c>
      <c r="I94">
        <v>1350</v>
      </c>
      <c r="J94">
        <f>I94*0.3</f>
        <v>405</v>
      </c>
    </row>
    <row r="95" spans="1:10" x14ac:dyDescent="0.3">
      <c r="A95" t="s">
        <v>56</v>
      </c>
      <c r="B95">
        <v>1034</v>
      </c>
      <c r="C95" t="s">
        <v>20</v>
      </c>
      <c r="D95" t="s">
        <v>16</v>
      </c>
      <c r="E95" t="s">
        <v>21</v>
      </c>
      <c r="F95" t="s">
        <v>26</v>
      </c>
      <c r="G95">
        <v>5</v>
      </c>
      <c r="H95">
        <v>250</v>
      </c>
      <c r="I95">
        <v>1250</v>
      </c>
      <c r="J95">
        <f>I95*0.3</f>
        <v>375</v>
      </c>
    </row>
    <row r="96" spans="1:10" x14ac:dyDescent="0.3">
      <c r="A96" t="s">
        <v>93</v>
      </c>
      <c r="B96">
        <v>1107</v>
      </c>
      <c r="C96" t="s">
        <v>20</v>
      </c>
      <c r="D96" t="s">
        <v>16</v>
      </c>
      <c r="E96" t="s">
        <v>21</v>
      </c>
      <c r="F96" t="s">
        <v>22</v>
      </c>
      <c r="G96">
        <v>5</v>
      </c>
      <c r="H96">
        <v>250</v>
      </c>
      <c r="I96">
        <v>1250</v>
      </c>
      <c r="J96">
        <f>I96*0.3</f>
        <v>375</v>
      </c>
    </row>
    <row r="97" spans="1:10" x14ac:dyDescent="0.3">
      <c r="A97" t="s">
        <v>42</v>
      </c>
      <c r="B97">
        <v>1015</v>
      </c>
      <c r="C97" t="s">
        <v>24</v>
      </c>
      <c r="D97" t="s">
        <v>16</v>
      </c>
      <c r="E97" t="s">
        <v>21</v>
      </c>
      <c r="F97" t="s">
        <v>30</v>
      </c>
      <c r="G97">
        <v>1</v>
      </c>
      <c r="H97">
        <v>1200</v>
      </c>
      <c r="I97">
        <v>1200</v>
      </c>
      <c r="J97">
        <f>I97*0.3</f>
        <v>360</v>
      </c>
    </row>
    <row r="98" spans="1:10" x14ac:dyDescent="0.3">
      <c r="A98" t="s">
        <v>52</v>
      </c>
      <c r="B98">
        <v>1046</v>
      </c>
      <c r="C98" t="s">
        <v>24</v>
      </c>
      <c r="D98" t="s">
        <v>16</v>
      </c>
      <c r="E98" t="s">
        <v>21</v>
      </c>
      <c r="F98" t="s">
        <v>30</v>
      </c>
      <c r="G98">
        <v>1</v>
      </c>
      <c r="H98">
        <v>1200</v>
      </c>
      <c r="I98">
        <v>1200</v>
      </c>
      <c r="J98">
        <f>I98*0.3</f>
        <v>360</v>
      </c>
    </row>
    <row r="99" spans="1:10" x14ac:dyDescent="0.3">
      <c r="A99" t="s">
        <v>43</v>
      </c>
      <c r="B99">
        <v>1018</v>
      </c>
      <c r="C99" t="s">
        <v>15</v>
      </c>
      <c r="D99" t="s">
        <v>16</v>
      </c>
      <c r="E99" t="s">
        <v>25</v>
      </c>
      <c r="F99" t="s">
        <v>26</v>
      </c>
      <c r="G99">
        <v>8</v>
      </c>
      <c r="H99">
        <v>150</v>
      </c>
      <c r="I99">
        <v>1200</v>
      </c>
      <c r="J99">
        <f>I99*0.3</f>
        <v>360</v>
      </c>
    </row>
    <row r="100" spans="1:10" x14ac:dyDescent="0.3">
      <c r="A100" t="s">
        <v>38</v>
      </c>
      <c r="B100">
        <v>1102</v>
      </c>
      <c r="C100" t="s">
        <v>32</v>
      </c>
      <c r="D100" t="s">
        <v>11</v>
      </c>
      <c r="E100" t="s">
        <v>21</v>
      </c>
      <c r="F100" t="s">
        <v>30</v>
      </c>
      <c r="G100">
        <v>4</v>
      </c>
      <c r="H100">
        <v>300</v>
      </c>
      <c r="I100">
        <v>1200</v>
      </c>
      <c r="J100">
        <f>I100*0.3</f>
        <v>360</v>
      </c>
    </row>
    <row r="101" spans="1:10" x14ac:dyDescent="0.3">
      <c r="A101" t="s">
        <v>55</v>
      </c>
      <c r="B101">
        <v>1152</v>
      </c>
      <c r="C101" t="s">
        <v>32</v>
      </c>
      <c r="D101" t="s">
        <v>11</v>
      </c>
      <c r="E101" t="s">
        <v>21</v>
      </c>
      <c r="F101" t="s">
        <v>26</v>
      </c>
      <c r="G101">
        <v>4</v>
      </c>
      <c r="H101">
        <v>300</v>
      </c>
      <c r="I101">
        <v>1200</v>
      </c>
      <c r="J101">
        <f>I101*0.3</f>
        <v>360</v>
      </c>
    </row>
    <row r="102" spans="1:10" x14ac:dyDescent="0.3">
      <c r="A102" t="s">
        <v>38</v>
      </c>
      <c r="B102">
        <v>1011</v>
      </c>
      <c r="C102" t="s">
        <v>24</v>
      </c>
      <c r="D102" t="s">
        <v>16</v>
      </c>
      <c r="E102" t="s">
        <v>17</v>
      </c>
      <c r="F102" t="s">
        <v>26</v>
      </c>
      <c r="G102">
        <v>1</v>
      </c>
      <c r="H102">
        <v>1200</v>
      </c>
      <c r="I102">
        <v>1200</v>
      </c>
      <c r="J102">
        <f>I102*0.3</f>
        <v>360</v>
      </c>
    </row>
    <row r="103" spans="1:10" x14ac:dyDescent="0.3">
      <c r="A103" t="s">
        <v>70</v>
      </c>
      <c r="B103">
        <v>1075</v>
      </c>
      <c r="C103" t="s">
        <v>24</v>
      </c>
      <c r="D103" t="s">
        <v>16</v>
      </c>
      <c r="E103" t="s">
        <v>25</v>
      </c>
      <c r="F103" t="s">
        <v>13</v>
      </c>
      <c r="G103">
        <v>1</v>
      </c>
      <c r="H103">
        <v>1200</v>
      </c>
      <c r="I103">
        <v>1200</v>
      </c>
      <c r="J103">
        <f>I103*0.3</f>
        <v>360</v>
      </c>
    </row>
    <row r="104" spans="1:10" x14ac:dyDescent="0.3">
      <c r="A104" t="s">
        <v>61</v>
      </c>
      <c r="B104">
        <v>1039</v>
      </c>
      <c r="C104" t="s">
        <v>15</v>
      </c>
      <c r="D104" t="s">
        <v>16</v>
      </c>
      <c r="E104" t="s">
        <v>17</v>
      </c>
      <c r="F104" t="s">
        <v>22</v>
      </c>
      <c r="G104">
        <v>7</v>
      </c>
      <c r="H104">
        <v>150</v>
      </c>
      <c r="I104">
        <v>1050</v>
      </c>
      <c r="J104">
        <f>I104*0.3</f>
        <v>315</v>
      </c>
    </row>
    <row r="105" spans="1:10" x14ac:dyDescent="0.3">
      <c r="A105" t="s">
        <v>31</v>
      </c>
      <c r="B105">
        <v>1067</v>
      </c>
      <c r="C105" t="s">
        <v>15</v>
      </c>
      <c r="D105" t="s">
        <v>16</v>
      </c>
      <c r="E105" t="s">
        <v>25</v>
      </c>
      <c r="F105" t="s">
        <v>22</v>
      </c>
      <c r="G105">
        <v>7</v>
      </c>
      <c r="H105">
        <v>150</v>
      </c>
      <c r="I105">
        <v>1050</v>
      </c>
      <c r="J105">
        <f>I105*0.3</f>
        <v>315</v>
      </c>
    </row>
    <row r="106" spans="1:10" x14ac:dyDescent="0.3">
      <c r="A106" t="s">
        <v>41</v>
      </c>
      <c r="B106">
        <v>1122</v>
      </c>
      <c r="C106" t="s">
        <v>15</v>
      </c>
      <c r="D106" t="s">
        <v>16</v>
      </c>
      <c r="E106" t="s">
        <v>12</v>
      </c>
      <c r="F106" t="s">
        <v>26</v>
      </c>
      <c r="G106">
        <v>7</v>
      </c>
      <c r="H106">
        <v>150</v>
      </c>
      <c r="I106">
        <v>1050</v>
      </c>
      <c r="J106">
        <f>I106*0.3</f>
        <v>315</v>
      </c>
    </row>
    <row r="107" spans="1:10" x14ac:dyDescent="0.3">
      <c r="A107" t="s">
        <v>70</v>
      </c>
      <c r="B107">
        <v>1142</v>
      </c>
      <c r="C107" t="s">
        <v>49</v>
      </c>
      <c r="D107" t="s">
        <v>16</v>
      </c>
      <c r="E107" t="s">
        <v>21</v>
      </c>
      <c r="F107" t="s">
        <v>13</v>
      </c>
      <c r="G107">
        <v>3</v>
      </c>
      <c r="H107">
        <v>350</v>
      </c>
      <c r="I107">
        <v>1050</v>
      </c>
      <c r="J107">
        <f>I107*0.3</f>
        <v>315</v>
      </c>
    </row>
    <row r="108" spans="1:10" x14ac:dyDescent="0.3">
      <c r="A108" t="s">
        <v>38</v>
      </c>
      <c r="B108">
        <v>1024</v>
      </c>
      <c r="C108" t="s">
        <v>49</v>
      </c>
      <c r="D108" t="s">
        <v>16</v>
      </c>
      <c r="E108" t="s">
        <v>17</v>
      </c>
      <c r="F108" t="s">
        <v>18</v>
      </c>
      <c r="G108">
        <v>3</v>
      </c>
      <c r="H108">
        <v>350</v>
      </c>
      <c r="I108">
        <v>1050</v>
      </c>
      <c r="J108">
        <f>I108*0.3</f>
        <v>315</v>
      </c>
    </row>
    <row r="109" spans="1:10" x14ac:dyDescent="0.3">
      <c r="A109" t="s">
        <v>95</v>
      </c>
      <c r="B109">
        <v>1177</v>
      </c>
      <c r="C109" t="s">
        <v>49</v>
      </c>
      <c r="D109" t="s">
        <v>16</v>
      </c>
      <c r="E109" t="s">
        <v>17</v>
      </c>
      <c r="F109" t="s">
        <v>36</v>
      </c>
      <c r="G109">
        <v>3</v>
      </c>
      <c r="H109">
        <v>350</v>
      </c>
      <c r="I109">
        <v>1050</v>
      </c>
      <c r="J109">
        <f>I109*0.3</f>
        <v>315</v>
      </c>
    </row>
    <row r="110" spans="1:10" x14ac:dyDescent="0.3">
      <c r="A110" t="s">
        <v>31</v>
      </c>
      <c r="B110">
        <v>1041</v>
      </c>
      <c r="C110" t="s">
        <v>20</v>
      </c>
      <c r="D110" t="s">
        <v>16</v>
      </c>
      <c r="E110" t="s">
        <v>25</v>
      </c>
      <c r="F110" t="s">
        <v>36</v>
      </c>
      <c r="G110">
        <v>4</v>
      </c>
      <c r="H110">
        <v>250</v>
      </c>
      <c r="I110">
        <v>1000</v>
      </c>
      <c r="J110">
        <f>I110*0.3</f>
        <v>300</v>
      </c>
    </row>
    <row r="111" spans="1:10" x14ac:dyDescent="0.3">
      <c r="A111" t="s">
        <v>9</v>
      </c>
      <c r="B111">
        <v>1042</v>
      </c>
      <c r="C111" t="s">
        <v>29</v>
      </c>
      <c r="D111" t="s">
        <v>11</v>
      </c>
      <c r="E111" t="s">
        <v>21</v>
      </c>
      <c r="F111" t="s">
        <v>22</v>
      </c>
      <c r="G111">
        <v>5</v>
      </c>
      <c r="H111">
        <v>200</v>
      </c>
      <c r="I111">
        <v>1000</v>
      </c>
      <c r="J111">
        <f>I111*0.3</f>
        <v>300</v>
      </c>
    </row>
    <row r="112" spans="1:10" x14ac:dyDescent="0.3">
      <c r="A112" t="s">
        <v>42</v>
      </c>
      <c r="B112">
        <v>1052</v>
      </c>
      <c r="C112" t="s">
        <v>20</v>
      </c>
      <c r="D112" t="s">
        <v>16</v>
      </c>
      <c r="E112" t="s">
        <v>12</v>
      </c>
      <c r="F112" t="s">
        <v>26</v>
      </c>
      <c r="G112">
        <v>4</v>
      </c>
      <c r="H112">
        <v>250</v>
      </c>
      <c r="I112">
        <v>1000</v>
      </c>
      <c r="J112">
        <f>I112*0.3</f>
        <v>300</v>
      </c>
    </row>
    <row r="113" spans="1:10" x14ac:dyDescent="0.3">
      <c r="A113" t="s">
        <v>89</v>
      </c>
      <c r="B113">
        <v>1095</v>
      </c>
      <c r="C113" t="s">
        <v>29</v>
      </c>
      <c r="D113" t="s">
        <v>11</v>
      </c>
      <c r="E113" t="s">
        <v>25</v>
      </c>
      <c r="F113" t="s">
        <v>36</v>
      </c>
      <c r="G113">
        <v>5</v>
      </c>
      <c r="H113">
        <v>200</v>
      </c>
      <c r="I113">
        <v>1000</v>
      </c>
      <c r="J113">
        <f>I113*0.3</f>
        <v>300</v>
      </c>
    </row>
    <row r="114" spans="1:10" x14ac:dyDescent="0.3">
      <c r="A114" t="s">
        <v>78</v>
      </c>
      <c r="B114">
        <v>1132</v>
      </c>
      <c r="C114" t="s">
        <v>20</v>
      </c>
      <c r="D114" t="s">
        <v>16</v>
      </c>
      <c r="E114" t="s">
        <v>17</v>
      </c>
      <c r="F114" t="s">
        <v>18</v>
      </c>
      <c r="G114">
        <v>4</v>
      </c>
      <c r="H114">
        <v>250</v>
      </c>
      <c r="I114">
        <v>1000</v>
      </c>
      <c r="J114">
        <f>I114*0.3</f>
        <v>300</v>
      </c>
    </row>
    <row r="115" spans="1:10" x14ac:dyDescent="0.3">
      <c r="A115" t="s">
        <v>37</v>
      </c>
      <c r="B115">
        <v>1091</v>
      </c>
      <c r="C115" t="s">
        <v>10</v>
      </c>
      <c r="D115" t="s">
        <v>11</v>
      </c>
      <c r="E115" t="s">
        <v>17</v>
      </c>
      <c r="F115" t="s">
        <v>18</v>
      </c>
      <c r="G115">
        <v>2</v>
      </c>
      <c r="H115">
        <v>450</v>
      </c>
      <c r="I115">
        <v>900</v>
      </c>
      <c r="J115">
        <f>I115*0.3</f>
        <v>270</v>
      </c>
    </row>
    <row r="116" spans="1:10" x14ac:dyDescent="0.3">
      <c r="A116" t="s">
        <v>96</v>
      </c>
      <c r="B116">
        <v>1159</v>
      </c>
      <c r="C116" t="s">
        <v>15</v>
      </c>
      <c r="D116" t="s">
        <v>16</v>
      </c>
      <c r="E116" t="s">
        <v>17</v>
      </c>
      <c r="F116" t="s">
        <v>26</v>
      </c>
      <c r="G116">
        <v>6</v>
      </c>
      <c r="H116">
        <v>150</v>
      </c>
      <c r="I116">
        <v>900</v>
      </c>
      <c r="J116">
        <f>I116*0.3</f>
        <v>270</v>
      </c>
    </row>
    <row r="117" spans="1:10" x14ac:dyDescent="0.3">
      <c r="A117" t="s">
        <v>81</v>
      </c>
      <c r="B117">
        <v>1080</v>
      </c>
      <c r="C117" t="s">
        <v>32</v>
      </c>
      <c r="D117" t="s">
        <v>11</v>
      </c>
      <c r="E117" t="s">
        <v>12</v>
      </c>
      <c r="F117" t="s">
        <v>18</v>
      </c>
      <c r="G117">
        <v>3</v>
      </c>
      <c r="H117">
        <v>300</v>
      </c>
      <c r="I117">
        <v>900</v>
      </c>
      <c r="J117">
        <f>I117*0.3</f>
        <v>270</v>
      </c>
    </row>
    <row r="118" spans="1:10" x14ac:dyDescent="0.3">
      <c r="A118" t="s">
        <v>54</v>
      </c>
      <c r="B118">
        <v>1129</v>
      </c>
      <c r="C118" t="s">
        <v>10</v>
      </c>
      <c r="D118" t="s">
        <v>11</v>
      </c>
      <c r="E118" t="s">
        <v>25</v>
      </c>
      <c r="F118" t="s">
        <v>13</v>
      </c>
      <c r="G118">
        <v>2</v>
      </c>
      <c r="H118">
        <v>450</v>
      </c>
      <c r="I118">
        <v>900</v>
      </c>
      <c r="J118">
        <f>I118*0.3</f>
        <v>270</v>
      </c>
    </row>
    <row r="119" spans="1:10" x14ac:dyDescent="0.3">
      <c r="A119" t="s">
        <v>101</v>
      </c>
      <c r="B119">
        <v>1136</v>
      </c>
      <c r="C119" t="s">
        <v>32</v>
      </c>
      <c r="D119" t="s">
        <v>11</v>
      </c>
      <c r="E119" t="s">
        <v>12</v>
      </c>
      <c r="F119" t="s">
        <v>26</v>
      </c>
      <c r="G119">
        <v>3</v>
      </c>
      <c r="H119">
        <v>300</v>
      </c>
      <c r="I119">
        <v>900</v>
      </c>
      <c r="J119">
        <f>I119*0.3</f>
        <v>270</v>
      </c>
    </row>
    <row r="120" spans="1:10" x14ac:dyDescent="0.3">
      <c r="A120" t="s">
        <v>40</v>
      </c>
      <c r="B120">
        <v>1157</v>
      </c>
      <c r="C120" t="s">
        <v>32</v>
      </c>
      <c r="D120" t="s">
        <v>11</v>
      </c>
      <c r="E120" t="s">
        <v>21</v>
      </c>
      <c r="F120" t="s">
        <v>18</v>
      </c>
      <c r="G120">
        <v>3</v>
      </c>
      <c r="H120">
        <v>300</v>
      </c>
      <c r="I120">
        <v>900</v>
      </c>
      <c r="J120">
        <f>I120*0.3</f>
        <v>270</v>
      </c>
    </row>
    <row r="121" spans="1:10" x14ac:dyDescent="0.3">
      <c r="A121" t="s">
        <v>43</v>
      </c>
      <c r="B121">
        <v>1197</v>
      </c>
      <c r="C121" t="s">
        <v>10</v>
      </c>
      <c r="D121" t="s">
        <v>11</v>
      </c>
      <c r="E121" t="s">
        <v>25</v>
      </c>
      <c r="F121" t="s">
        <v>30</v>
      </c>
      <c r="G121">
        <v>2</v>
      </c>
      <c r="H121">
        <v>450</v>
      </c>
      <c r="I121">
        <v>900</v>
      </c>
      <c r="J121">
        <f>I121*0.3</f>
        <v>270</v>
      </c>
    </row>
    <row r="122" spans="1:10" x14ac:dyDescent="0.3">
      <c r="A122" t="s">
        <v>33</v>
      </c>
      <c r="B122">
        <v>1211</v>
      </c>
      <c r="C122" t="s">
        <v>10</v>
      </c>
      <c r="D122" t="s">
        <v>11</v>
      </c>
      <c r="E122" t="s">
        <v>21</v>
      </c>
      <c r="F122" t="s">
        <v>30</v>
      </c>
      <c r="G122">
        <v>2</v>
      </c>
      <c r="H122">
        <v>450</v>
      </c>
      <c r="I122">
        <v>900</v>
      </c>
      <c r="J122">
        <f>I122*0.3</f>
        <v>270</v>
      </c>
    </row>
    <row r="123" spans="1:10" x14ac:dyDescent="0.3">
      <c r="A123" t="s">
        <v>79</v>
      </c>
      <c r="B123">
        <v>1077</v>
      </c>
      <c r="C123" t="s">
        <v>32</v>
      </c>
      <c r="D123" t="s">
        <v>11</v>
      </c>
      <c r="E123" t="s">
        <v>17</v>
      </c>
      <c r="F123" t="s">
        <v>18</v>
      </c>
      <c r="G123">
        <v>3</v>
      </c>
      <c r="H123">
        <v>300</v>
      </c>
      <c r="I123">
        <v>900</v>
      </c>
      <c r="J123">
        <f>I123*0.3</f>
        <v>270</v>
      </c>
    </row>
    <row r="124" spans="1:10" x14ac:dyDescent="0.3">
      <c r="A124" t="s">
        <v>23</v>
      </c>
      <c r="B124">
        <v>1119</v>
      </c>
      <c r="C124" t="s">
        <v>29</v>
      </c>
      <c r="D124" t="s">
        <v>11</v>
      </c>
      <c r="E124" t="s">
        <v>21</v>
      </c>
      <c r="F124" t="s">
        <v>18</v>
      </c>
      <c r="G124">
        <v>4</v>
      </c>
      <c r="H124">
        <v>200</v>
      </c>
      <c r="I124">
        <v>800</v>
      </c>
      <c r="J124">
        <f>I124*0.3</f>
        <v>240</v>
      </c>
    </row>
    <row r="125" spans="1:10" x14ac:dyDescent="0.3">
      <c r="A125" t="s">
        <v>73</v>
      </c>
      <c r="B125">
        <v>1213</v>
      </c>
      <c r="C125" t="s">
        <v>29</v>
      </c>
      <c r="D125" t="s">
        <v>11</v>
      </c>
      <c r="E125" t="s">
        <v>12</v>
      </c>
      <c r="F125" t="s">
        <v>22</v>
      </c>
      <c r="G125">
        <v>4</v>
      </c>
      <c r="H125">
        <v>200</v>
      </c>
      <c r="I125">
        <v>800</v>
      </c>
      <c r="J125">
        <f>I125*0.3</f>
        <v>240</v>
      </c>
    </row>
    <row r="126" spans="1:10" x14ac:dyDescent="0.3">
      <c r="A126" t="s">
        <v>85</v>
      </c>
      <c r="B126">
        <v>1149</v>
      </c>
      <c r="C126" t="s">
        <v>15</v>
      </c>
      <c r="D126" t="s">
        <v>16</v>
      </c>
      <c r="E126" t="s">
        <v>17</v>
      </c>
      <c r="F126" t="s">
        <v>36</v>
      </c>
      <c r="G126">
        <v>5</v>
      </c>
      <c r="H126">
        <v>150</v>
      </c>
      <c r="I126">
        <v>750</v>
      </c>
      <c r="J126">
        <f>I126*0.3</f>
        <v>225</v>
      </c>
    </row>
    <row r="127" spans="1:10" x14ac:dyDescent="0.3">
      <c r="A127" t="s">
        <v>48</v>
      </c>
      <c r="B127">
        <v>1082</v>
      </c>
      <c r="C127" t="s">
        <v>15</v>
      </c>
      <c r="D127" t="s">
        <v>16</v>
      </c>
      <c r="E127" t="s">
        <v>21</v>
      </c>
      <c r="F127" t="s">
        <v>30</v>
      </c>
      <c r="G127">
        <v>5</v>
      </c>
      <c r="H127">
        <v>150</v>
      </c>
      <c r="I127">
        <v>750</v>
      </c>
      <c r="J127">
        <f>I127*0.3</f>
        <v>225</v>
      </c>
    </row>
    <row r="128" spans="1:10" x14ac:dyDescent="0.3">
      <c r="A128" t="s">
        <v>77</v>
      </c>
      <c r="B128">
        <v>1116</v>
      </c>
      <c r="C128" t="s">
        <v>20</v>
      </c>
      <c r="D128" t="s">
        <v>16</v>
      </c>
      <c r="E128" t="s">
        <v>21</v>
      </c>
      <c r="F128" t="s">
        <v>36</v>
      </c>
      <c r="G128">
        <v>3</v>
      </c>
      <c r="H128">
        <v>250</v>
      </c>
      <c r="I128">
        <v>750</v>
      </c>
      <c r="J128">
        <f>I128*0.3</f>
        <v>225</v>
      </c>
    </row>
    <row r="129" spans="1:10" x14ac:dyDescent="0.3">
      <c r="A129" t="s">
        <v>85</v>
      </c>
      <c r="B129">
        <v>1206</v>
      </c>
      <c r="C129" t="s">
        <v>20</v>
      </c>
      <c r="D129" t="s">
        <v>16</v>
      </c>
      <c r="E129" t="s">
        <v>25</v>
      </c>
      <c r="F129" t="s">
        <v>30</v>
      </c>
      <c r="G129">
        <v>3</v>
      </c>
      <c r="H129">
        <v>250</v>
      </c>
      <c r="I129">
        <v>750</v>
      </c>
      <c r="J129">
        <f>I129*0.3</f>
        <v>225</v>
      </c>
    </row>
    <row r="130" spans="1:10" x14ac:dyDescent="0.3">
      <c r="A130" t="s">
        <v>37</v>
      </c>
      <c r="B130">
        <v>1145</v>
      </c>
      <c r="C130" t="s">
        <v>35</v>
      </c>
      <c r="D130" t="s">
        <v>16</v>
      </c>
      <c r="E130" t="s">
        <v>12</v>
      </c>
      <c r="F130" t="s">
        <v>36</v>
      </c>
      <c r="G130">
        <v>10</v>
      </c>
      <c r="H130">
        <v>70</v>
      </c>
      <c r="I130">
        <v>700</v>
      </c>
      <c r="J130">
        <f>I130*0.3</f>
        <v>210</v>
      </c>
    </row>
    <row r="131" spans="1:10" x14ac:dyDescent="0.3">
      <c r="A131" t="s">
        <v>88</v>
      </c>
      <c r="B131">
        <v>1173</v>
      </c>
      <c r="C131" t="s">
        <v>49</v>
      </c>
      <c r="D131" t="s">
        <v>16</v>
      </c>
      <c r="E131" t="s">
        <v>25</v>
      </c>
      <c r="F131" t="s">
        <v>13</v>
      </c>
      <c r="G131">
        <v>2</v>
      </c>
      <c r="H131">
        <v>350</v>
      </c>
      <c r="I131">
        <v>700</v>
      </c>
      <c r="J131">
        <f>I131*0.3</f>
        <v>210</v>
      </c>
    </row>
    <row r="132" spans="1:10" x14ac:dyDescent="0.3">
      <c r="A132" t="s">
        <v>81</v>
      </c>
      <c r="B132">
        <v>1209</v>
      </c>
      <c r="C132" t="s">
        <v>49</v>
      </c>
      <c r="D132" t="s">
        <v>16</v>
      </c>
      <c r="E132" t="s">
        <v>21</v>
      </c>
      <c r="F132" t="s">
        <v>22</v>
      </c>
      <c r="G132">
        <v>2</v>
      </c>
      <c r="H132">
        <v>350</v>
      </c>
      <c r="I132">
        <v>700</v>
      </c>
      <c r="J132">
        <f>I132*0.3</f>
        <v>210</v>
      </c>
    </row>
    <row r="133" spans="1:10" x14ac:dyDescent="0.3">
      <c r="A133" t="s">
        <v>47</v>
      </c>
      <c r="B133">
        <v>1021</v>
      </c>
      <c r="C133" t="s">
        <v>35</v>
      </c>
      <c r="D133" t="s">
        <v>16</v>
      </c>
      <c r="E133" t="s">
        <v>17</v>
      </c>
      <c r="F133" t="s">
        <v>22</v>
      </c>
      <c r="G133">
        <v>9</v>
      </c>
      <c r="H133">
        <v>70</v>
      </c>
      <c r="I133">
        <v>630</v>
      </c>
      <c r="J133">
        <f>I133*0.3</f>
        <v>189</v>
      </c>
    </row>
    <row r="134" spans="1:10" x14ac:dyDescent="0.3">
      <c r="A134" t="s">
        <v>96</v>
      </c>
      <c r="B134">
        <v>1125</v>
      </c>
      <c r="C134" t="s">
        <v>35</v>
      </c>
      <c r="D134" t="s">
        <v>16</v>
      </c>
      <c r="E134" t="s">
        <v>12</v>
      </c>
      <c r="F134" t="s">
        <v>13</v>
      </c>
      <c r="G134">
        <v>9</v>
      </c>
      <c r="H134">
        <v>70</v>
      </c>
      <c r="I134">
        <v>630</v>
      </c>
      <c r="J134">
        <f>I134*0.3</f>
        <v>189</v>
      </c>
    </row>
    <row r="135" spans="1:10" x14ac:dyDescent="0.3">
      <c r="A135" t="s">
        <v>106</v>
      </c>
      <c r="B135">
        <v>1196</v>
      </c>
      <c r="C135" t="s">
        <v>35</v>
      </c>
      <c r="D135" t="s">
        <v>16</v>
      </c>
      <c r="E135" t="s">
        <v>25</v>
      </c>
      <c r="F135" t="s">
        <v>13</v>
      </c>
      <c r="G135">
        <v>9</v>
      </c>
      <c r="H135">
        <v>70</v>
      </c>
      <c r="I135">
        <v>630</v>
      </c>
      <c r="J135">
        <f>I135*0.3</f>
        <v>189</v>
      </c>
    </row>
    <row r="136" spans="1:10" x14ac:dyDescent="0.3">
      <c r="A136" t="s">
        <v>73</v>
      </c>
      <c r="B136">
        <v>1065</v>
      </c>
      <c r="C136" t="s">
        <v>35</v>
      </c>
      <c r="D136" t="s">
        <v>16</v>
      </c>
      <c r="E136" t="s">
        <v>17</v>
      </c>
      <c r="F136" t="s">
        <v>36</v>
      </c>
      <c r="G136">
        <v>9</v>
      </c>
      <c r="H136">
        <v>70</v>
      </c>
      <c r="I136">
        <v>630</v>
      </c>
      <c r="J136">
        <f>I136*0.3</f>
        <v>189</v>
      </c>
    </row>
    <row r="137" spans="1:10" x14ac:dyDescent="0.3">
      <c r="A137" t="s">
        <v>66</v>
      </c>
      <c r="B137">
        <v>1118</v>
      </c>
      <c r="C137" t="s">
        <v>35</v>
      </c>
      <c r="D137" t="s">
        <v>16</v>
      </c>
      <c r="E137" t="s">
        <v>17</v>
      </c>
      <c r="F137" t="s">
        <v>36</v>
      </c>
      <c r="G137">
        <v>9</v>
      </c>
      <c r="H137">
        <v>70</v>
      </c>
      <c r="I137">
        <v>630</v>
      </c>
      <c r="J137">
        <f>I137*0.3</f>
        <v>189</v>
      </c>
    </row>
    <row r="138" spans="1:10" x14ac:dyDescent="0.3">
      <c r="A138" t="s">
        <v>85</v>
      </c>
      <c r="B138">
        <v>1192</v>
      </c>
      <c r="C138" t="s">
        <v>29</v>
      </c>
      <c r="D138" t="s">
        <v>11</v>
      </c>
      <c r="E138" t="s">
        <v>17</v>
      </c>
      <c r="F138" t="s">
        <v>18</v>
      </c>
      <c r="G138">
        <v>3</v>
      </c>
      <c r="H138">
        <v>200</v>
      </c>
      <c r="I138">
        <v>600</v>
      </c>
      <c r="J138">
        <f>I138*0.3</f>
        <v>180</v>
      </c>
    </row>
    <row r="139" spans="1:10" x14ac:dyDescent="0.3">
      <c r="A139" t="s">
        <v>14</v>
      </c>
      <c r="B139">
        <v>1002</v>
      </c>
      <c r="C139" t="s">
        <v>15</v>
      </c>
      <c r="D139" t="s">
        <v>16</v>
      </c>
      <c r="E139" t="s">
        <v>17</v>
      </c>
      <c r="F139" t="s">
        <v>18</v>
      </c>
      <c r="G139">
        <v>4</v>
      </c>
      <c r="H139">
        <v>150</v>
      </c>
      <c r="I139">
        <v>600</v>
      </c>
      <c r="J139">
        <f>I139*0.3</f>
        <v>180</v>
      </c>
    </row>
    <row r="140" spans="1:10" x14ac:dyDescent="0.3">
      <c r="A140" t="s">
        <v>65</v>
      </c>
      <c r="B140">
        <v>1047</v>
      </c>
      <c r="C140" t="s">
        <v>15</v>
      </c>
      <c r="D140" t="s">
        <v>16</v>
      </c>
      <c r="E140" t="s">
        <v>17</v>
      </c>
      <c r="F140" t="s">
        <v>30</v>
      </c>
      <c r="G140">
        <v>4</v>
      </c>
      <c r="H140">
        <v>150</v>
      </c>
      <c r="I140">
        <v>600</v>
      </c>
      <c r="J140">
        <f>I140*0.3</f>
        <v>180</v>
      </c>
    </row>
    <row r="141" spans="1:10" x14ac:dyDescent="0.3">
      <c r="A141" t="s">
        <v>72</v>
      </c>
      <c r="B141">
        <v>1087</v>
      </c>
      <c r="C141" t="s">
        <v>15</v>
      </c>
      <c r="D141" t="s">
        <v>16</v>
      </c>
      <c r="E141" t="s">
        <v>17</v>
      </c>
      <c r="F141" t="s">
        <v>36</v>
      </c>
      <c r="G141">
        <v>4</v>
      </c>
      <c r="H141">
        <v>150</v>
      </c>
      <c r="I141">
        <v>600</v>
      </c>
      <c r="J141">
        <f>I141*0.3</f>
        <v>180</v>
      </c>
    </row>
    <row r="142" spans="1:10" x14ac:dyDescent="0.3">
      <c r="A142" t="s">
        <v>27</v>
      </c>
      <c r="B142">
        <v>1005</v>
      </c>
      <c r="C142" t="s">
        <v>15</v>
      </c>
      <c r="D142" t="s">
        <v>16</v>
      </c>
      <c r="E142" t="s">
        <v>25</v>
      </c>
      <c r="F142" t="s">
        <v>13</v>
      </c>
      <c r="G142">
        <v>4</v>
      </c>
      <c r="H142">
        <v>150</v>
      </c>
      <c r="I142">
        <v>600</v>
      </c>
      <c r="J142">
        <f>I142*0.3</f>
        <v>180</v>
      </c>
    </row>
    <row r="143" spans="1:10" x14ac:dyDescent="0.3">
      <c r="A143" t="s">
        <v>48</v>
      </c>
      <c r="B143">
        <v>1023</v>
      </c>
      <c r="C143" t="s">
        <v>15</v>
      </c>
      <c r="D143" t="s">
        <v>16</v>
      </c>
      <c r="E143" t="s">
        <v>21</v>
      </c>
      <c r="F143" t="s">
        <v>26</v>
      </c>
      <c r="G143">
        <v>4</v>
      </c>
      <c r="H143">
        <v>150</v>
      </c>
      <c r="I143">
        <v>600</v>
      </c>
      <c r="J143">
        <f>I143*0.3</f>
        <v>180</v>
      </c>
    </row>
    <row r="144" spans="1:10" x14ac:dyDescent="0.3">
      <c r="A144" t="s">
        <v>60</v>
      </c>
      <c r="B144">
        <v>1073</v>
      </c>
      <c r="C144" t="s">
        <v>15</v>
      </c>
      <c r="D144" t="s">
        <v>16</v>
      </c>
      <c r="E144" t="s">
        <v>25</v>
      </c>
      <c r="F144" t="s">
        <v>22</v>
      </c>
      <c r="G144">
        <v>4</v>
      </c>
      <c r="H144">
        <v>150</v>
      </c>
      <c r="I144">
        <v>600</v>
      </c>
      <c r="J144">
        <f>I144*0.3</f>
        <v>180</v>
      </c>
    </row>
    <row r="145" spans="1:10" x14ac:dyDescent="0.3">
      <c r="A145" t="s">
        <v>90</v>
      </c>
      <c r="B145">
        <v>1131</v>
      </c>
      <c r="C145" t="s">
        <v>15</v>
      </c>
      <c r="D145" t="s">
        <v>16</v>
      </c>
      <c r="E145" t="s">
        <v>21</v>
      </c>
      <c r="F145" t="s">
        <v>18</v>
      </c>
      <c r="G145">
        <v>4</v>
      </c>
      <c r="H145">
        <v>150</v>
      </c>
      <c r="I145">
        <v>600</v>
      </c>
      <c r="J145">
        <f>I145*0.3</f>
        <v>180</v>
      </c>
    </row>
    <row r="146" spans="1:10" x14ac:dyDescent="0.3">
      <c r="A146" t="s">
        <v>31</v>
      </c>
      <c r="B146">
        <v>1144</v>
      </c>
      <c r="C146" t="s">
        <v>15</v>
      </c>
      <c r="D146" t="s">
        <v>16</v>
      </c>
      <c r="E146" t="s">
        <v>12</v>
      </c>
      <c r="F146" t="s">
        <v>30</v>
      </c>
      <c r="G146">
        <v>4</v>
      </c>
      <c r="H146">
        <v>150</v>
      </c>
      <c r="I146">
        <v>600</v>
      </c>
      <c r="J146">
        <f>I146*0.3</f>
        <v>180</v>
      </c>
    </row>
    <row r="147" spans="1:10" x14ac:dyDescent="0.3">
      <c r="A147" t="s">
        <v>19</v>
      </c>
      <c r="B147">
        <v>1158</v>
      </c>
      <c r="C147" t="s">
        <v>15</v>
      </c>
      <c r="D147" t="s">
        <v>16</v>
      </c>
      <c r="E147" t="s">
        <v>21</v>
      </c>
      <c r="F147" t="s">
        <v>36</v>
      </c>
      <c r="G147">
        <v>4</v>
      </c>
      <c r="H147">
        <v>150</v>
      </c>
      <c r="I147">
        <v>600</v>
      </c>
      <c r="J147">
        <f>I147*0.3</f>
        <v>180</v>
      </c>
    </row>
    <row r="148" spans="1:10" x14ac:dyDescent="0.3">
      <c r="A148" t="s">
        <v>82</v>
      </c>
      <c r="B148">
        <v>1166</v>
      </c>
      <c r="C148" t="s">
        <v>15</v>
      </c>
      <c r="D148" t="s">
        <v>16</v>
      </c>
      <c r="E148" t="s">
        <v>12</v>
      </c>
      <c r="F148" t="s">
        <v>22</v>
      </c>
      <c r="G148">
        <v>4</v>
      </c>
      <c r="H148">
        <v>150</v>
      </c>
      <c r="I148">
        <v>600</v>
      </c>
      <c r="J148">
        <f>I148*0.3</f>
        <v>180</v>
      </c>
    </row>
    <row r="149" spans="1:10" x14ac:dyDescent="0.3">
      <c r="A149" t="s">
        <v>77</v>
      </c>
      <c r="B149">
        <v>1179</v>
      </c>
      <c r="C149" t="s">
        <v>29</v>
      </c>
      <c r="D149" t="s">
        <v>11</v>
      </c>
      <c r="E149" t="s">
        <v>12</v>
      </c>
      <c r="F149" t="s">
        <v>18</v>
      </c>
      <c r="G149">
        <v>3</v>
      </c>
      <c r="H149">
        <v>200</v>
      </c>
      <c r="I149">
        <v>600</v>
      </c>
      <c r="J149">
        <f>I149*0.3</f>
        <v>180</v>
      </c>
    </row>
    <row r="150" spans="1:10" x14ac:dyDescent="0.3">
      <c r="A150" t="s">
        <v>45</v>
      </c>
      <c r="B150">
        <v>1200</v>
      </c>
      <c r="C150" t="s">
        <v>29</v>
      </c>
      <c r="D150" t="s">
        <v>11</v>
      </c>
      <c r="E150" t="s">
        <v>21</v>
      </c>
      <c r="F150" t="s">
        <v>18</v>
      </c>
      <c r="G150">
        <v>3</v>
      </c>
      <c r="H150">
        <v>200</v>
      </c>
      <c r="I150">
        <v>600</v>
      </c>
      <c r="J150">
        <f>I150*0.3</f>
        <v>180</v>
      </c>
    </row>
    <row r="151" spans="1:10" x14ac:dyDescent="0.3">
      <c r="A151" t="s">
        <v>103</v>
      </c>
      <c r="B151">
        <v>1216</v>
      </c>
      <c r="C151" t="s">
        <v>32</v>
      </c>
      <c r="D151" t="s">
        <v>11</v>
      </c>
      <c r="E151" t="s">
        <v>25</v>
      </c>
      <c r="F151" t="s">
        <v>22</v>
      </c>
      <c r="G151">
        <v>2</v>
      </c>
      <c r="H151">
        <v>300</v>
      </c>
      <c r="I151">
        <v>600</v>
      </c>
      <c r="J151">
        <f>I151*0.3</f>
        <v>180</v>
      </c>
    </row>
    <row r="152" spans="1:10" x14ac:dyDescent="0.3">
      <c r="A152" t="s">
        <v>57</v>
      </c>
      <c r="B152">
        <v>1195</v>
      </c>
      <c r="C152" t="s">
        <v>35</v>
      </c>
      <c r="D152" t="s">
        <v>16</v>
      </c>
      <c r="E152" t="s">
        <v>21</v>
      </c>
      <c r="F152" t="s">
        <v>26</v>
      </c>
      <c r="G152">
        <v>8</v>
      </c>
      <c r="H152">
        <v>70</v>
      </c>
      <c r="I152">
        <v>560</v>
      </c>
      <c r="J152">
        <f>I152*0.3</f>
        <v>168</v>
      </c>
    </row>
    <row r="153" spans="1:10" x14ac:dyDescent="0.3">
      <c r="A153" t="s">
        <v>41</v>
      </c>
      <c r="B153">
        <v>1058</v>
      </c>
      <c r="C153" t="s">
        <v>35</v>
      </c>
      <c r="D153" t="s">
        <v>16</v>
      </c>
      <c r="E153" t="s">
        <v>17</v>
      </c>
      <c r="F153" t="s">
        <v>30</v>
      </c>
      <c r="G153">
        <v>8</v>
      </c>
      <c r="H153">
        <v>70</v>
      </c>
      <c r="I153">
        <v>560</v>
      </c>
      <c r="J153">
        <f>I153*0.3</f>
        <v>168</v>
      </c>
    </row>
    <row r="154" spans="1:10" x14ac:dyDescent="0.3">
      <c r="A154" t="s">
        <v>19</v>
      </c>
      <c r="B154">
        <v>1137</v>
      </c>
      <c r="C154" t="s">
        <v>20</v>
      </c>
      <c r="D154" t="s">
        <v>16</v>
      </c>
      <c r="E154" t="s">
        <v>25</v>
      </c>
      <c r="F154" t="s">
        <v>22</v>
      </c>
      <c r="G154">
        <v>2</v>
      </c>
      <c r="H154">
        <v>250</v>
      </c>
      <c r="I154">
        <v>500</v>
      </c>
      <c r="J154">
        <f>I154*0.3</f>
        <v>150</v>
      </c>
    </row>
    <row r="155" spans="1:10" x14ac:dyDescent="0.3">
      <c r="A155" t="s">
        <v>98</v>
      </c>
      <c r="B155">
        <v>1156</v>
      </c>
      <c r="C155" t="s">
        <v>35</v>
      </c>
      <c r="D155" t="s">
        <v>16</v>
      </c>
      <c r="E155" t="s">
        <v>21</v>
      </c>
      <c r="F155" t="s">
        <v>30</v>
      </c>
      <c r="G155">
        <v>7</v>
      </c>
      <c r="H155">
        <v>70</v>
      </c>
      <c r="I155">
        <v>490</v>
      </c>
      <c r="J155">
        <f>I155*0.3</f>
        <v>147</v>
      </c>
    </row>
    <row r="156" spans="1:10" x14ac:dyDescent="0.3">
      <c r="A156" t="s">
        <v>108</v>
      </c>
      <c r="B156">
        <v>1207</v>
      </c>
      <c r="C156" t="s">
        <v>35</v>
      </c>
      <c r="D156" t="s">
        <v>16</v>
      </c>
      <c r="E156" t="s">
        <v>12</v>
      </c>
      <c r="F156" t="s">
        <v>22</v>
      </c>
      <c r="G156">
        <v>7</v>
      </c>
      <c r="H156">
        <v>70</v>
      </c>
      <c r="I156">
        <v>490</v>
      </c>
      <c r="J156">
        <f>I156*0.3</f>
        <v>147</v>
      </c>
    </row>
    <row r="157" spans="1:10" x14ac:dyDescent="0.3">
      <c r="A157" t="s">
        <v>109</v>
      </c>
      <c r="B157">
        <v>1215</v>
      </c>
      <c r="C157" t="s">
        <v>10</v>
      </c>
      <c r="D157" t="s">
        <v>11</v>
      </c>
      <c r="E157" t="s">
        <v>17</v>
      </c>
      <c r="F157" t="s">
        <v>26</v>
      </c>
      <c r="G157">
        <v>1</v>
      </c>
      <c r="H157">
        <v>450</v>
      </c>
      <c r="I157">
        <v>450</v>
      </c>
      <c r="J157">
        <f>I157*0.3</f>
        <v>135</v>
      </c>
    </row>
    <row r="158" spans="1:10" x14ac:dyDescent="0.3">
      <c r="A158" t="s">
        <v>52</v>
      </c>
      <c r="B158">
        <v>1027</v>
      </c>
      <c r="C158" t="s">
        <v>10</v>
      </c>
      <c r="D158" t="s">
        <v>11</v>
      </c>
      <c r="E158" t="s">
        <v>12</v>
      </c>
      <c r="F158" t="s">
        <v>26</v>
      </c>
      <c r="G158">
        <v>1</v>
      </c>
      <c r="H158">
        <v>450</v>
      </c>
      <c r="I158">
        <v>450</v>
      </c>
      <c r="J158">
        <f>I158*0.3</f>
        <v>135</v>
      </c>
    </row>
    <row r="159" spans="1:10" x14ac:dyDescent="0.3">
      <c r="A159" t="s">
        <v>33</v>
      </c>
      <c r="B159">
        <v>1056</v>
      </c>
      <c r="C159" t="s">
        <v>10</v>
      </c>
      <c r="D159" t="s">
        <v>11</v>
      </c>
      <c r="E159" t="s">
        <v>25</v>
      </c>
      <c r="F159" t="s">
        <v>18</v>
      </c>
      <c r="G159">
        <v>1</v>
      </c>
      <c r="H159">
        <v>450</v>
      </c>
      <c r="I159">
        <v>450</v>
      </c>
      <c r="J159">
        <f>I159*0.3</f>
        <v>135</v>
      </c>
    </row>
    <row r="160" spans="1:10" x14ac:dyDescent="0.3">
      <c r="A160" t="s">
        <v>67</v>
      </c>
      <c r="B160">
        <v>1057</v>
      </c>
      <c r="C160" t="s">
        <v>10</v>
      </c>
      <c r="D160" t="s">
        <v>11</v>
      </c>
      <c r="E160" t="s">
        <v>25</v>
      </c>
      <c r="F160" t="s">
        <v>22</v>
      </c>
      <c r="G160">
        <v>1</v>
      </c>
      <c r="H160">
        <v>450</v>
      </c>
      <c r="I160">
        <v>450</v>
      </c>
      <c r="J160">
        <f>I160*0.3</f>
        <v>135</v>
      </c>
    </row>
    <row r="161" spans="1:10" x14ac:dyDescent="0.3">
      <c r="A161" t="s">
        <v>88</v>
      </c>
      <c r="B161">
        <v>1138</v>
      </c>
      <c r="C161" t="s">
        <v>15</v>
      </c>
      <c r="D161" t="s">
        <v>16</v>
      </c>
      <c r="E161" t="s">
        <v>21</v>
      </c>
      <c r="F161" t="s">
        <v>18</v>
      </c>
      <c r="G161">
        <v>3</v>
      </c>
      <c r="H161">
        <v>150</v>
      </c>
      <c r="I161">
        <v>450</v>
      </c>
      <c r="J161">
        <f>I161*0.3</f>
        <v>135</v>
      </c>
    </row>
    <row r="162" spans="1:10" x14ac:dyDescent="0.3">
      <c r="A162" t="s">
        <v>102</v>
      </c>
      <c r="B162">
        <v>1148</v>
      </c>
      <c r="C162" t="s">
        <v>10</v>
      </c>
      <c r="D162" t="s">
        <v>11</v>
      </c>
      <c r="E162" t="s">
        <v>21</v>
      </c>
      <c r="F162" t="s">
        <v>13</v>
      </c>
      <c r="G162">
        <v>1</v>
      </c>
      <c r="H162">
        <v>450</v>
      </c>
      <c r="I162">
        <v>450</v>
      </c>
      <c r="J162">
        <f>I162*0.3</f>
        <v>135</v>
      </c>
    </row>
    <row r="163" spans="1:10" x14ac:dyDescent="0.3">
      <c r="A163" t="s">
        <v>33</v>
      </c>
      <c r="B163">
        <v>1198</v>
      </c>
      <c r="C163" t="s">
        <v>15</v>
      </c>
      <c r="D163" t="s">
        <v>16</v>
      </c>
      <c r="E163" t="s">
        <v>25</v>
      </c>
      <c r="F163" t="s">
        <v>26</v>
      </c>
      <c r="G163">
        <v>3</v>
      </c>
      <c r="H163">
        <v>150</v>
      </c>
      <c r="I163">
        <v>450</v>
      </c>
      <c r="J163">
        <f>I163*0.3</f>
        <v>135</v>
      </c>
    </row>
    <row r="164" spans="1:10" x14ac:dyDescent="0.3">
      <c r="A164" t="s">
        <v>50</v>
      </c>
      <c r="B164">
        <v>1025</v>
      </c>
      <c r="C164" t="s">
        <v>35</v>
      </c>
      <c r="D164" t="s">
        <v>16</v>
      </c>
      <c r="E164" t="s">
        <v>12</v>
      </c>
      <c r="F164" t="s">
        <v>22</v>
      </c>
      <c r="G164">
        <v>6</v>
      </c>
      <c r="H164">
        <v>70</v>
      </c>
      <c r="I164">
        <v>420</v>
      </c>
      <c r="J164">
        <f>I164*0.3</f>
        <v>126</v>
      </c>
    </row>
    <row r="165" spans="1:10" x14ac:dyDescent="0.3">
      <c r="A165" t="s">
        <v>74</v>
      </c>
      <c r="B165">
        <v>1086</v>
      </c>
      <c r="C165" t="s">
        <v>35</v>
      </c>
      <c r="D165" t="s">
        <v>16</v>
      </c>
      <c r="E165" t="s">
        <v>25</v>
      </c>
      <c r="F165" t="s">
        <v>22</v>
      </c>
      <c r="G165">
        <v>6</v>
      </c>
      <c r="H165">
        <v>70</v>
      </c>
      <c r="I165">
        <v>420</v>
      </c>
      <c r="J165">
        <f>I165*0.3</f>
        <v>126</v>
      </c>
    </row>
    <row r="166" spans="1:10" x14ac:dyDescent="0.3">
      <c r="A166" t="s">
        <v>82</v>
      </c>
      <c r="B166">
        <v>1154</v>
      </c>
      <c r="C166" t="s">
        <v>35</v>
      </c>
      <c r="D166" t="s">
        <v>16</v>
      </c>
      <c r="E166" t="s">
        <v>12</v>
      </c>
      <c r="F166" t="s">
        <v>26</v>
      </c>
      <c r="G166">
        <v>6</v>
      </c>
      <c r="H166">
        <v>70</v>
      </c>
      <c r="I166">
        <v>420</v>
      </c>
      <c r="J166">
        <f>I166*0.3</f>
        <v>126</v>
      </c>
    </row>
    <row r="167" spans="1:10" x14ac:dyDescent="0.3">
      <c r="A167" t="s">
        <v>33</v>
      </c>
      <c r="B167">
        <v>1190</v>
      </c>
      <c r="C167" t="s">
        <v>35</v>
      </c>
      <c r="D167" t="s">
        <v>16</v>
      </c>
      <c r="E167" t="s">
        <v>12</v>
      </c>
      <c r="F167" t="s">
        <v>22</v>
      </c>
      <c r="G167">
        <v>6</v>
      </c>
      <c r="H167">
        <v>70</v>
      </c>
      <c r="I167">
        <v>420</v>
      </c>
      <c r="J167">
        <f>I167*0.3</f>
        <v>126</v>
      </c>
    </row>
    <row r="168" spans="1:10" x14ac:dyDescent="0.3">
      <c r="A168" t="s">
        <v>48</v>
      </c>
      <c r="B168">
        <v>1121</v>
      </c>
      <c r="C168" t="s">
        <v>35</v>
      </c>
      <c r="D168" t="s">
        <v>16</v>
      </c>
      <c r="E168" t="s">
        <v>17</v>
      </c>
      <c r="F168" t="s">
        <v>26</v>
      </c>
      <c r="G168">
        <v>6</v>
      </c>
      <c r="H168">
        <v>70</v>
      </c>
      <c r="I168">
        <v>420</v>
      </c>
      <c r="J168">
        <f>I168*0.3</f>
        <v>126</v>
      </c>
    </row>
    <row r="169" spans="1:10" x14ac:dyDescent="0.3">
      <c r="A169" t="s">
        <v>51</v>
      </c>
      <c r="B169">
        <v>1191</v>
      </c>
      <c r="C169" t="s">
        <v>29</v>
      </c>
      <c r="D169" t="s">
        <v>11</v>
      </c>
      <c r="E169" t="s">
        <v>17</v>
      </c>
      <c r="F169" t="s">
        <v>30</v>
      </c>
      <c r="G169">
        <v>2</v>
      </c>
      <c r="H169">
        <v>200</v>
      </c>
      <c r="I169">
        <v>400</v>
      </c>
      <c r="J169">
        <f>I169*0.3</f>
        <v>120</v>
      </c>
    </row>
    <row r="170" spans="1:10" x14ac:dyDescent="0.3">
      <c r="A170" t="s">
        <v>41</v>
      </c>
      <c r="B170">
        <v>1088</v>
      </c>
      <c r="C170" t="s">
        <v>49</v>
      </c>
      <c r="D170" t="s">
        <v>16</v>
      </c>
      <c r="E170" t="s">
        <v>25</v>
      </c>
      <c r="F170" t="s">
        <v>30</v>
      </c>
      <c r="G170">
        <v>1</v>
      </c>
      <c r="H170">
        <v>350</v>
      </c>
      <c r="I170">
        <v>350</v>
      </c>
      <c r="J170">
        <f>I170*0.3</f>
        <v>105</v>
      </c>
    </row>
    <row r="171" spans="1:10" x14ac:dyDescent="0.3">
      <c r="A171" t="s">
        <v>90</v>
      </c>
      <c r="B171">
        <v>1104</v>
      </c>
      <c r="C171" t="s">
        <v>35</v>
      </c>
      <c r="D171" t="s">
        <v>16</v>
      </c>
      <c r="E171" t="s">
        <v>12</v>
      </c>
      <c r="F171" t="s">
        <v>30</v>
      </c>
      <c r="G171">
        <v>5</v>
      </c>
      <c r="H171">
        <v>70</v>
      </c>
      <c r="I171">
        <v>350</v>
      </c>
      <c r="J171">
        <f>I171*0.3</f>
        <v>105</v>
      </c>
    </row>
    <row r="172" spans="1:10" x14ac:dyDescent="0.3">
      <c r="A172" t="s">
        <v>48</v>
      </c>
      <c r="B172">
        <v>1048</v>
      </c>
      <c r="C172" t="s">
        <v>49</v>
      </c>
      <c r="D172" t="s">
        <v>16</v>
      </c>
      <c r="E172" t="s">
        <v>17</v>
      </c>
      <c r="F172" t="s">
        <v>18</v>
      </c>
      <c r="G172">
        <v>1</v>
      </c>
      <c r="H172">
        <v>350</v>
      </c>
      <c r="I172">
        <v>350</v>
      </c>
      <c r="J172">
        <f>I172*0.3</f>
        <v>105</v>
      </c>
    </row>
    <row r="173" spans="1:10" x14ac:dyDescent="0.3">
      <c r="A173" t="s">
        <v>60</v>
      </c>
      <c r="B173">
        <v>1044</v>
      </c>
      <c r="C173" t="s">
        <v>32</v>
      </c>
      <c r="D173" t="s">
        <v>11</v>
      </c>
      <c r="E173" t="s">
        <v>25</v>
      </c>
      <c r="F173" t="s">
        <v>36</v>
      </c>
      <c r="G173">
        <v>1</v>
      </c>
      <c r="H173">
        <v>300</v>
      </c>
      <c r="I173">
        <v>300</v>
      </c>
      <c r="J173">
        <f>I173*0.3</f>
        <v>90</v>
      </c>
    </row>
    <row r="174" spans="1:10" x14ac:dyDescent="0.3">
      <c r="A174" t="s">
        <v>69</v>
      </c>
      <c r="B174">
        <v>1060</v>
      </c>
      <c r="C174" t="s">
        <v>15</v>
      </c>
      <c r="D174" t="s">
        <v>16</v>
      </c>
      <c r="E174" t="s">
        <v>12</v>
      </c>
      <c r="F174" t="s">
        <v>18</v>
      </c>
      <c r="G174">
        <v>2</v>
      </c>
      <c r="H174">
        <v>150</v>
      </c>
      <c r="I174">
        <v>300</v>
      </c>
      <c r="J174">
        <f>I174*0.3</f>
        <v>90</v>
      </c>
    </row>
    <row r="175" spans="1:10" x14ac:dyDescent="0.3">
      <c r="A175" t="s">
        <v>86</v>
      </c>
      <c r="B175">
        <v>1092</v>
      </c>
      <c r="C175" t="s">
        <v>32</v>
      </c>
      <c r="D175" t="s">
        <v>11</v>
      </c>
      <c r="E175" t="s">
        <v>25</v>
      </c>
      <c r="F175" t="s">
        <v>13</v>
      </c>
      <c r="G175">
        <v>1</v>
      </c>
      <c r="H175">
        <v>300</v>
      </c>
      <c r="I175">
        <v>300</v>
      </c>
      <c r="J175">
        <f>I175*0.3</f>
        <v>90</v>
      </c>
    </row>
    <row r="176" spans="1:10" x14ac:dyDescent="0.3">
      <c r="A176" t="s">
        <v>33</v>
      </c>
      <c r="B176">
        <v>1214</v>
      </c>
      <c r="C176" t="s">
        <v>15</v>
      </c>
      <c r="D176" t="s">
        <v>16</v>
      </c>
      <c r="E176" t="s">
        <v>25</v>
      </c>
      <c r="F176" t="s">
        <v>13</v>
      </c>
      <c r="G176">
        <v>2</v>
      </c>
      <c r="H176">
        <v>150</v>
      </c>
      <c r="I176">
        <v>300</v>
      </c>
      <c r="J176">
        <f>I176*0.3</f>
        <v>90</v>
      </c>
    </row>
    <row r="177" spans="1:10" x14ac:dyDescent="0.3">
      <c r="A177" t="s">
        <v>77</v>
      </c>
      <c r="B177">
        <v>1072</v>
      </c>
      <c r="C177" t="s">
        <v>15</v>
      </c>
      <c r="D177" t="s">
        <v>16</v>
      </c>
      <c r="E177" t="s">
        <v>17</v>
      </c>
      <c r="F177" t="s">
        <v>22</v>
      </c>
      <c r="G177">
        <v>2</v>
      </c>
      <c r="H177">
        <v>150</v>
      </c>
      <c r="I177">
        <v>300</v>
      </c>
      <c r="J177">
        <f>I177*0.3</f>
        <v>90</v>
      </c>
    </row>
    <row r="178" spans="1:10" x14ac:dyDescent="0.3">
      <c r="A178" t="s">
        <v>47</v>
      </c>
      <c r="B178">
        <v>1084</v>
      </c>
      <c r="C178" t="s">
        <v>35</v>
      </c>
      <c r="D178" t="s">
        <v>16</v>
      </c>
      <c r="E178" t="s">
        <v>12</v>
      </c>
      <c r="F178" t="s">
        <v>30</v>
      </c>
      <c r="G178">
        <v>4</v>
      </c>
      <c r="H178">
        <v>70</v>
      </c>
      <c r="I178">
        <v>280</v>
      </c>
      <c r="J178">
        <f>I178*0.3</f>
        <v>84</v>
      </c>
    </row>
    <row r="179" spans="1:10" x14ac:dyDescent="0.3">
      <c r="A179" t="s">
        <v>28</v>
      </c>
      <c r="B179">
        <v>1185</v>
      </c>
      <c r="C179" t="s">
        <v>35</v>
      </c>
      <c r="D179" t="s">
        <v>16</v>
      </c>
      <c r="E179" t="s">
        <v>12</v>
      </c>
      <c r="F179" t="s">
        <v>36</v>
      </c>
      <c r="G179">
        <v>4</v>
      </c>
      <c r="H179">
        <v>70</v>
      </c>
      <c r="I179">
        <v>280</v>
      </c>
      <c r="J179">
        <f>I179*0.3</f>
        <v>84</v>
      </c>
    </row>
    <row r="180" spans="1:10" x14ac:dyDescent="0.3">
      <c r="A180" t="s">
        <v>59</v>
      </c>
      <c r="B180">
        <v>1037</v>
      </c>
      <c r="C180" t="s">
        <v>44</v>
      </c>
      <c r="D180" t="s">
        <v>16</v>
      </c>
      <c r="E180" t="s">
        <v>12</v>
      </c>
      <c r="F180" t="s">
        <v>30</v>
      </c>
      <c r="G180">
        <v>10</v>
      </c>
      <c r="H180">
        <v>25</v>
      </c>
      <c r="I180">
        <v>250</v>
      </c>
      <c r="J180">
        <f>I180*0.3</f>
        <v>75</v>
      </c>
    </row>
    <row r="181" spans="1:10" x14ac:dyDescent="0.3">
      <c r="A181" t="s">
        <v>69</v>
      </c>
      <c r="B181">
        <v>1074</v>
      </c>
      <c r="C181" t="s">
        <v>20</v>
      </c>
      <c r="D181" t="s">
        <v>16</v>
      </c>
      <c r="E181" t="s">
        <v>25</v>
      </c>
      <c r="F181" t="s">
        <v>26</v>
      </c>
      <c r="G181">
        <v>1</v>
      </c>
      <c r="H181">
        <v>250</v>
      </c>
      <c r="I181">
        <v>250</v>
      </c>
      <c r="J181">
        <f>I181*0.3</f>
        <v>75</v>
      </c>
    </row>
    <row r="182" spans="1:10" x14ac:dyDescent="0.3">
      <c r="A182" t="s">
        <v>47</v>
      </c>
      <c r="B182">
        <v>1161</v>
      </c>
      <c r="C182" t="s">
        <v>20</v>
      </c>
      <c r="D182" t="s">
        <v>16</v>
      </c>
      <c r="E182" t="s">
        <v>12</v>
      </c>
      <c r="F182" t="s">
        <v>36</v>
      </c>
      <c r="G182">
        <v>1</v>
      </c>
      <c r="H182">
        <v>250</v>
      </c>
      <c r="I182">
        <v>250</v>
      </c>
      <c r="J182">
        <f>I182*0.3</f>
        <v>75</v>
      </c>
    </row>
    <row r="183" spans="1:10" x14ac:dyDescent="0.3">
      <c r="A183" t="s">
        <v>91</v>
      </c>
      <c r="B183">
        <v>1180</v>
      </c>
      <c r="C183" t="s">
        <v>20</v>
      </c>
      <c r="D183" t="s">
        <v>16</v>
      </c>
      <c r="E183" t="s">
        <v>25</v>
      </c>
      <c r="F183" t="s">
        <v>26</v>
      </c>
      <c r="G183">
        <v>1</v>
      </c>
      <c r="H183">
        <v>250</v>
      </c>
      <c r="I183">
        <v>250</v>
      </c>
      <c r="J183">
        <f>I183*0.3</f>
        <v>75</v>
      </c>
    </row>
    <row r="184" spans="1:10" x14ac:dyDescent="0.3">
      <c r="A184" t="s">
        <v>41</v>
      </c>
      <c r="B184">
        <v>1022</v>
      </c>
      <c r="C184" t="s">
        <v>20</v>
      </c>
      <c r="D184" t="s">
        <v>16</v>
      </c>
      <c r="E184" t="s">
        <v>17</v>
      </c>
      <c r="F184" t="s">
        <v>26</v>
      </c>
      <c r="G184">
        <v>1</v>
      </c>
      <c r="H184">
        <v>250</v>
      </c>
      <c r="I184">
        <v>250</v>
      </c>
      <c r="J184">
        <f>I184*0.3</f>
        <v>75</v>
      </c>
    </row>
    <row r="185" spans="1:10" x14ac:dyDescent="0.3">
      <c r="A185" t="s">
        <v>38</v>
      </c>
      <c r="B185">
        <v>1208</v>
      </c>
      <c r="C185" t="s">
        <v>44</v>
      </c>
      <c r="D185" t="s">
        <v>16</v>
      </c>
      <c r="E185" t="s">
        <v>17</v>
      </c>
      <c r="F185" t="s">
        <v>36</v>
      </c>
      <c r="G185">
        <v>10</v>
      </c>
      <c r="H185">
        <v>25</v>
      </c>
      <c r="I185">
        <v>250</v>
      </c>
      <c r="J185">
        <f>I185*0.3</f>
        <v>75</v>
      </c>
    </row>
    <row r="186" spans="1:10" x14ac:dyDescent="0.3">
      <c r="A186" t="s">
        <v>54</v>
      </c>
      <c r="B186">
        <v>1031</v>
      </c>
      <c r="C186" t="s">
        <v>44</v>
      </c>
      <c r="D186" t="s">
        <v>16</v>
      </c>
      <c r="E186" t="s">
        <v>21</v>
      </c>
      <c r="F186" t="s">
        <v>26</v>
      </c>
      <c r="G186">
        <v>9</v>
      </c>
      <c r="H186">
        <v>25</v>
      </c>
      <c r="I186">
        <v>225</v>
      </c>
      <c r="J186">
        <f>I186*0.3</f>
        <v>67.5</v>
      </c>
    </row>
    <row r="187" spans="1:10" x14ac:dyDescent="0.3">
      <c r="A187" t="s">
        <v>74</v>
      </c>
      <c r="B187">
        <v>1068</v>
      </c>
      <c r="C187" t="s">
        <v>44</v>
      </c>
      <c r="D187" t="s">
        <v>16</v>
      </c>
      <c r="E187" t="s">
        <v>21</v>
      </c>
      <c r="F187" t="s">
        <v>22</v>
      </c>
      <c r="G187">
        <v>9</v>
      </c>
      <c r="H187">
        <v>25</v>
      </c>
      <c r="I187">
        <v>225</v>
      </c>
      <c r="J187">
        <f>I187*0.3</f>
        <v>67.5</v>
      </c>
    </row>
    <row r="188" spans="1:10" x14ac:dyDescent="0.3">
      <c r="A188" t="s">
        <v>87</v>
      </c>
      <c r="B188">
        <v>1100</v>
      </c>
      <c r="C188" t="s">
        <v>44</v>
      </c>
      <c r="D188" t="s">
        <v>16</v>
      </c>
      <c r="E188" t="s">
        <v>25</v>
      </c>
      <c r="F188" t="s">
        <v>36</v>
      </c>
      <c r="G188">
        <v>9</v>
      </c>
      <c r="H188">
        <v>25</v>
      </c>
      <c r="I188">
        <v>225</v>
      </c>
      <c r="J188">
        <f>I188*0.3</f>
        <v>67.5</v>
      </c>
    </row>
    <row r="189" spans="1:10" x14ac:dyDescent="0.3">
      <c r="A189" t="s">
        <v>82</v>
      </c>
      <c r="B189">
        <v>1150</v>
      </c>
      <c r="C189" t="s">
        <v>44</v>
      </c>
      <c r="D189" t="s">
        <v>16</v>
      </c>
      <c r="E189" t="s">
        <v>12</v>
      </c>
      <c r="F189" t="s">
        <v>22</v>
      </c>
      <c r="G189">
        <v>9</v>
      </c>
      <c r="H189">
        <v>25</v>
      </c>
      <c r="I189">
        <v>225</v>
      </c>
      <c r="J189">
        <f>I189*0.3</f>
        <v>67.5</v>
      </c>
    </row>
    <row r="190" spans="1:10" x14ac:dyDescent="0.3">
      <c r="A190" t="s">
        <v>74</v>
      </c>
      <c r="B190">
        <v>1203</v>
      </c>
      <c r="C190" t="s">
        <v>44</v>
      </c>
      <c r="D190" t="s">
        <v>16</v>
      </c>
      <c r="E190" t="s">
        <v>12</v>
      </c>
      <c r="F190" t="s">
        <v>22</v>
      </c>
      <c r="G190">
        <v>9</v>
      </c>
      <c r="H190">
        <v>25</v>
      </c>
      <c r="I190">
        <v>225</v>
      </c>
      <c r="J190">
        <f>I190*0.3</f>
        <v>67.5</v>
      </c>
    </row>
    <row r="191" spans="1:10" x14ac:dyDescent="0.3">
      <c r="A191" t="s">
        <v>34</v>
      </c>
      <c r="B191">
        <v>1009</v>
      </c>
      <c r="C191" t="s">
        <v>35</v>
      </c>
      <c r="D191" t="s">
        <v>16</v>
      </c>
      <c r="E191" t="s">
        <v>12</v>
      </c>
      <c r="F191" t="s">
        <v>36</v>
      </c>
      <c r="G191">
        <v>3</v>
      </c>
      <c r="H191">
        <v>70</v>
      </c>
      <c r="I191">
        <v>210</v>
      </c>
      <c r="J191">
        <f>I191*0.3</f>
        <v>63</v>
      </c>
    </row>
    <row r="192" spans="1:10" x14ac:dyDescent="0.3">
      <c r="A192" t="s">
        <v>28</v>
      </c>
      <c r="B192">
        <v>1055</v>
      </c>
      <c r="C192" t="s">
        <v>35</v>
      </c>
      <c r="D192" t="s">
        <v>16</v>
      </c>
      <c r="E192" t="s">
        <v>25</v>
      </c>
      <c r="F192" t="s">
        <v>30</v>
      </c>
      <c r="G192">
        <v>3</v>
      </c>
      <c r="H192">
        <v>70</v>
      </c>
      <c r="I192">
        <v>210</v>
      </c>
      <c r="J192">
        <f>I192*0.3</f>
        <v>63</v>
      </c>
    </row>
    <row r="193" spans="1:10" x14ac:dyDescent="0.3">
      <c r="A193" t="s">
        <v>91</v>
      </c>
      <c r="B193">
        <v>1098</v>
      </c>
      <c r="C193" t="s">
        <v>35</v>
      </c>
      <c r="D193" t="s">
        <v>16</v>
      </c>
      <c r="E193" t="s">
        <v>21</v>
      </c>
      <c r="F193" t="s">
        <v>18</v>
      </c>
      <c r="G193">
        <v>3</v>
      </c>
      <c r="H193">
        <v>70</v>
      </c>
      <c r="I193">
        <v>210</v>
      </c>
      <c r="J193">
        <f>I193*0.3</f>
        <v>63</v>
      </c>
    </row>
    <row r="194" spans="1:10" x14ac:dyDescent="0.3">
      <c r="A194" t="s">
        <v>106</v>
      </c>
      <c r="B194">
        <v>1186</v>
      </c>
      <c r="C194" t="s">
        <v>35</v>
      </c>
      <c r="D194" t="s">
        <v>16</v>
      </c>
      <c r="E194" t="s">
        <v>17</v>
      </c>
      <c r="F194" t="s">
        <v>18</v>
      </c>
      <c r="G194">
        <v>3</v>
      </c>
      <c r="H194">
        <v>70</v>
      </c>
      <c r="I194">
        <v>210</v>
      </c>
      <c r="J194">
        <f>I194*0.3</f>
        <v>63</v>
      </c>
    </row>
    <row r="195" spans="1:10" x14ac:dyDescent="0.3">
      <c r="A195" t="s">
        <v>62</v>
      </c>
      <c r="B195">
        <v>1040</v>
      </c>
      <c r="C195" t="s">
        <v>44</v>
      </c>
      <c r="D195" t="s">
        <v>16</v>
      </c>
      <c r="E195" t="s">
        <v>25</v>
      </c>
      <c r="F195" t="s">
        <v>30</v>
      </c>
      <c r="G195">
        <v>8</v>
      </c>
      <c r="H195">
        <v>25</v>
      </c>
      <c r="I195">
        <v>200</v>
      </c>
      <c r="J195">
        <f>I195*0.3</f>
        <v>60</v>
      </c>
    </row>
    <row r="196" spans="1:10" x14ac:dyDescent="0.3">
      <c r="A196" t="s">
        <v>71</v>
      </c>
      <c r="B196">
        <v>1109</v>
      </c>
      <c r="C196" t="s">
        <v>44</v>
      </c>
      <c r="D196" t="s">
        <v>16</v>
      </c>
      <c r="E196" t="s">
        <v>12</v>
      </c>
      <c r="F196" t="s">
        <v>30</v>
      </c>
      <c r="G196">
        <v>8</v>
      </c>
      <c r="H196">
        <v>25</v>
      </c>
      <c r="I196">
        <v>200</v>
      </c>
      <c r="J196">
        <f>I196*0.3</f>
        <v>60</v>
      </c>
    </row>
    <row r="197" spans="1:10" x14ac:dyDescent="0.3">
      <c r="A197" t="s">
        <v>81</v>
      </c>
      <c r="B197">
        <v>1163</v>
      </c>
      <c r="C197" t="s">
        <v>29</v>
      </c>
      <c r="D197" t="s">
        <v>11</v>
      </c>
      <c r="E197" t="s">
        <v>12</v>
      </c>
      <c r="F197" t="s">
        <v>26</v>
      </c>
      <c r="G197">
        <v>1</v>
      </c>
      <c r="H197">
        <v>200</v>
      </c>
      <c r="I197">
        <v>200</v>
      </c>
      <c r="J197">
        <f>I197*0.3</f>
        <v>60</v>
      </c>
    </row>
    <row r="198" spans="1:10" x14ac:dyDescent="0.3">
      <c r="A198" t="s">
        <v>80</v>
      </c>
      <c r="B198">
        <v>1167</v>
      </c>
      <c r="C198" t="s">
        <v>44</v>
      </c>
      <c r="D198" t="s">
        <v>16</v>
      </c>
      <c r="E198" t="s">
        <v>21</v>
      </c>
      <c r="F198" t="s">
        <v>18</v>
      </c>
      <c r="G198">
        <v>8</v>
      </c>
      <c r="H198">
        <v>25</v>
      </c>
      <c r="I198">
        <v>200</v>
      </c>
      <c r="J198">
        <f>I198*0.3</f>
        <v>60</v>
      </c>
    </row>
    <row r="199" spans="1:10" x14ac:dyDescent="0.3">
      <c r="A199" t="s">
        <v>50</v>
      </c>
      <c r="B199">
        <v>1032</v>
      </c>
      <c r="C199" t="s">
        <v>44</v>
      </c>
      <c r="D199" t="s">
        <v>16</v>
      </c>
      <c r="E199" t="s">
        <v>21</v>
      </c>
      <c r="F199" t="s">
        <v>18</v>
      </c>
      <c r="G199">
        <v>7</v>
      </c>
      <c r="H199">
        <v>25</v>
      </c>
      <c r="I199">
        <v>175</v>
      </c>
      <c r="J199">
        <f>I199*0.3</f>
        <v>52.5</v>
      </c>
    </row>
    <row r="200" spans="1:10" x14ac:dyDescent="0.3">
      <c r="A200" t="s">
        <v>83</v>
      </c>
      <c r="B200">
        <v>1083</v>
      </c>
      <c r="C200" t="s">
        <v>44</v>
      </c>
      <c r="D200" t="s">
        <v>16</v>
      </c>
      <c r="E200" t="s">
        <v>21</v>
      </c>
      <c r="F200" t="s">
        <v>30</v>
      </c>
      <c r="G200">
        <v>7</v>
      </c>
      <c r="H200">
        <v>25</v>
      </c>
      <c r="I200">
        <v>175</v>
      </c>
      <c r="J200">
        <f>I200*0.3</f>
        <v>52.5</v>
      </c>
    </row>
    <row r="201" spans="1:10" x14ac:dyDescent="0.3">
      <c r="A201" t="s">
        <v>82</v>
      </c>
      <c r="B201">
        <v>1194</v>
      </c>
      <c r="C201" t="s">
        <v>44</v>
      </c>
      <c r="D201" t="s">
        <v>16</v>
      </c>
      <c r="E201" t="s">
        <v>25</v>
      </c>
      <c r="F201" t="s">
        <v>36</v>
      </c>
      <c r="G201">
        <v>7</v>
      </c>
      <c r="H201">
        <v>25</v>
      </c>
      <c r="I201">
        <v>175</v>
      </c>
      <c r="J201">
        <f>I201*0.3</f>
        <v>52.5</v>
      </c>
    </row>
    <row r="202" spans="1:10" x14ac:dyDescent="0.3">
      <c r="A202" t="s">
        <v>72</v>
      </c>
      <c r="B202">
        <v>1064</v>
      </c>
      <c r="C202" t="s">
        <v>15</v>
      </c>
      <c r="D202" t="s">
        <v>16</v>
      </c>
      <c r="E202" t="s">
        <v>12</v>
      </c>
      <c r="F202" t="s">
        <v>30</v>
      </c>
      <c r="G202">
        <v>1</v>
      </c>
      <c r="H202">
        <v>150</v>
      </c>
      <c r="I202">
        <v>150</v>
      </c>
      <c r="J202">
        <f>I202*0.3</f>
        <v>45</v>
      </c>
    </row>
    <row r="203" spans="1:10" x14ac:dyDescent="0.3">
      <c r="A203" t="s">
        <v>76</v>
      </c>
      <c r="B203">
        <v>1071</v>
      </c>
      <c r="C203" t="s">
        <v>15</v>
      </c>
      <c r="D203" t="s">
        <v>16</v>
      </c>
      <c r="E203" t="s">
        <v>12</v>
      </c>
      <c r="F203" t="s">
        <v>22</v>
      </c>
      <c r="G203">
        <v>1</v>
      </c>
      <c r="H203">
        <v>150</v>
      </c>
      <c r="I203">
        <v>150</v>
      </c>
      <c r="J203">
        <f>I203*0.3</f>
        <v>45</v>
      </c>
    </row>
    <row r="204" spans="1:10" x14ac:dyDescent="0.3">
      <c r="A204" t="s">
        <v>23</v>
      </c>
      <c r="B204">
        <v>1096</v>
      </c>
      <c r="C204" t="s">
        <v>15</v>
      </c>
      <c r="D204" t="s">
        <v>16</v>
      </c>
      <c r="E204" t="s">
        <v>12</v>
      </c>
      <c r="F204" t="s">
        <v>36</v>
      </c>
      <c r="G204">
        <v>1</v>
      </c>
      <c r="H204">
        <v>150</v>
      </c>
      <c r="I204">
        <v>150</v>
      </c>
      <c r="J204">
        <f>I204*0.3</f>
        <v>45</v>
      </c>
    </row>
    <row r="205" spans="1:10" x14ac:dyDescent="0.3">
      <c r="A205" t="s">
        <v>57</v>
      </c>
      <c r="B205">
        <v>1106</v>
      </c>
      <c r="C205" t="s">
        <v>15</v>
      </c>
      <c r="D205" t="s">
        <v>16</v>
      </c>
      <c r="E205" t="s">
        <v>21</v>
      </c>
      <c r="F205" t="s">
        <v>18</v>
      </c>
      <c r="G205">
        <v>1</v>
      </c>
      <c r="H205">
        <v>150</v>
      </c>
      <c r="I205">
        <v>150</v>
      </c>
      <c r="J205">
        <f>I205*0.3</f>
        <v>45</v>
      </c>
    </row>
    <row r="206" spans="1:10" x14ac:dyDescent="0.3">
      <c r="A206" t="s">
        <v>89</v>
      </c>
      <c r="B206">
        <v>1187</v>
      </c>
      <c r="C206" t="s">
        <v>44</v>
      </c>
      <c r="D206" t="s">
        <v>16</v>
      </c>
      <c r="E206" t="s">
        <v>17</v>
      </c>
      <c r="F206" t="s">
        <v>22</v>
      </c>
      <c r="G206">
        <v>6</v>
      </c>
      <c r="H206">
        <v>25</v>
      </c>
      <c r="I206">
        <v>150</v>
      </c>
      <c r="J206">
        <f>I206*0.3</f>
        <v>45</v>
      </c>
    </row>
    <row r="207" spans="1:10" x14ac:dyDescent="0.3">
      <c r="A207" t="s">
        <v>96</v>
      </c>
      <c r="B207">
        <v>1128</v>
      </c>
      <c r="C207" t="s">
        <v>44</v>
      </c>
      <c r="D207" t="s">
        <v>16</v>
      </c>
      <c r="E207" t="s">
        <v>25</v>
      </c>
      <c r="F207" t="s">
        <v>36</v>
      </c>
      <c r="G207">
        <v>5</v>
      </c>
      <c r="H207">
        <v>25</v>
      </c>
      <c r="I207">
        <v>125</v>
      </c>
      <c r="J207">
        <f>I207*0.3</f>
        <v>37.5</v>
      </c>
    </row>
    <row r="208" spans="1:10" x14ac:dyDescent="0.3">
      <c r="A208" t="s">
        <v>79</v>
      </c>
      <c r="B208">
        <v>1120</v>
      </c>
      <c r="C208" t="s">
        <v>44</v>
      </c>
      <c r="D208" t="s">
        <v>16</v>
      </c>
      <c r="E208" t="s">
        <v>17</v>
      </c>
      <c r="F208" t="s">
        <v>22</v>
      </c>
      <c r="G208">
        <v>5</v>
      </c>
      <c r="H208">
        <v>25</v>
      </c>
      <c r="I208">
        <v>125</v>
      </c>
      <c r="J208">
        <f>I208*0.3</f>
        <v>37.5</v>
      </c>
    </row>
    <row r="209" spans="1:10" x14ac:dyDescent="0.3">
      <c r="A209" t="s">
        <v>107</v>
      </c>
      <c r="B209">
        <v>1193</v>
      </c>
      <c r="C209" t="s">
        <v>44</v>
      </c>
      <c r="D209" t="s">
        <v>16</v>
      </c>
      <c r="E209" t="s">
        <v>25</v>
      </c>
      <c r="F209" t="s">
        <v>22</v>
      </c>
      <c r="G209">
        <v>4</v>
      </c>
      <c r="H209">
        <v>25</v>
      </c>
      <c r="I209">
        <v>100</v>
      </c>
      <c r="J209">
        <f>I209*0.3</f>
        <v>30</v>
      </c>
    </row>
    <row r="210" spans="1:10" x14ac:dyDescent="0.3">
      <c r="A210" t="s">
        <v>42</v>
      </c>
      <c r="B210">
        <v>1204</v>
      </c>
      <c r="C210" t="s">
        <v>44</v>
      </c>
      <c r="D210" t="s">
        <v>16</v>
      </c>
      <c r="E210" t="s">
        <v>12</v>
      </c>
      <c r="F210" t="s">
        <v>30</v>
      </c>
      <c r="G210">
        <v>4</v>
      </c>
      <c r="H210">
        <v>25</v>
      </c>
      <c r="I210">
        <v>100</v>
      </c>
      <c r="J210">
        <f>I210*0.3</f>
        <v>30</v>
      </c>
    </row>
    <row r="211" spans="1:10" x14ac:dyDescent="0.3">
      <c r="A211" t="s">
        <v>43</v>
      </c>
      <c r="B211">
        <v>1016</v>
      </c>
      <c r="C211" t="s">
        <v>44</v>
      </c>
      <c r="D211" t="s">
        <v>16</v>
      </c>
      <c r="E211" t="s">
        <v>17</v>
      </c>
      <c r="F211" t="s">
        <v>13</v>
      </c>
      <c r="G211">
        <v>4</v>
      </c>
      <c r="H211">
        <v>25</v>
      </c>
      <c r="I211">
        <v>100</v>
      </c>
      <c r="J211">
        <f>I211*0.3</f>
        <v>30</v>
      </c>
    </row>
    <row r="212" spans="1:10" x14ac:dyDescent="0.3">
      <c r="A212" t="s">
        <v>60</v>
      </c>
      <c r="B212">
        <v>1038</v>
      </c>
      <c r="C212" t="s">
        <v>44</v>
      </c>
      <c r="D212" t="s">
        <v>16</v>
      </c>
      <c r="E212" t="s">
        <v>25</v>
      </c>
      <c r="F212" t="s">
        <v>26</v>
      </c>
      <c r="G212">
        <v>3</v>
      </c>
      <c r="H212">
        <v>25</v>
      </c>
      <c r="I212">
        <v>75</v>
      </c>
      <c r="J212">
        <f>I212*0.3</f>
        <v>22.5</v>
      </c>
    </row>
    <row r="213" spans="1:10" x14ac:dyDescent="0.3">
      <c r="A213" t="s">
        <v>28</v>
      </c>
      <c r="B213">
        <v>1113</v>
      </c>
      <c r="C213" t="s">
        <v>44</v>
      </c>
      <c r="D213" t="s">
        <v>16</v>
      </c>
      <c r="E213" t="s">
        <v>25</v>
      </c>
      <c r="F213" t="s">
        <v>22</v>
      </c>
      <c r="G213">
        <v>3</v>
      </c>
      <c r="H213">
        <v>25</v>
      </c>
      <c r="I213">
        <v>75</v>
      </c>
      <c r="J213">
        <f>I213*0.3</f>
        <v>22.5</v>
      </c>
    </row>
    <row r="214" spans="1:10" x14ac:dyDescent="0.3">
      <c r="A214" t="s">
        <v>54</v>
      </c>
      <c r="B214">
        <v>1184</v>
      </c>
      <c r="C214" t="s">
        <v>44</v>
      </c>
      <c r="D214" t="s">
        <v>16</v>
      </c>
      <c r="E214" t="s">
        <v>25</v>
      </c>
      <c r="F214" t="s">
        <v>13</v>
      </c>
      <c r="G214">
        <v>3</v>
      </c>
      <c r="H214">
        <v>25</v>
      </c>
      <c r="I214">
        <v>75</v>
      </c>
      <c r="J214">
        <f>I214*0.3</f>
        <v>22.5</v>
      </c>
    </row>
    <row r="215" spans="1:10" x14ac:dyDescent="0.3">
      <c r="A215" t="s">
        <v>87</v>
      </c>
      <c r="B215">
        <v>1093</v>
      </c>
      <c r="C215" t="s">
        <v>35</v>
      </c>
      <c r="D215" t="s">
        <v>16</v>
      </c>
      <c r="E215" t="s">
        <v>21</v>
      </c>
      <c r="F215" t="s">
        <v>36</v>
      </c>
      <c r="G215">
        <v>1</v>
      </c>
      <c r="H215">
        <v>70</v>
      </c>
      <c r="I215">
        <v>70</v>
      </c>
      <c r="J215">
        <f>I215*0.3</f>
        <v>21</v>
      </c>
    </row>
    <row r="216" spans="1:10" x14ac:dyDescent="0.3">
      <c r="A216" t="s">
        <v>68</v>
      </c>
      <c r="B216">
        <v>1078</v>
      </c>
      <c r="C216" t="s">
        <v>44</v>
      </c>
      <c r="D216" t="s">
        <v>16</v>
      </c>
      <c r="E216" t="s">
        <v>17</v>
      </c>
      <c r="F216" t="s">
        <v>26</v>
      </c>
      <c r="G216">
        <v>2</v>
      </c>
      <c r="H216">
        <v>25</v>
      </c>
      <c r="I216">
        <v>50</v>
      </c>
      <c r="J216">
        <f>I216*0.3</f>
        <v>15</v>
      </c>
    </row>
    <row r="217" spans="1:10" x14ac:dyDescent="0.3">
      <c r="A217" t="s">
        <v>94</v>
      </c>
      <c r="B217">
        <v>1189</v>
      </c>
      <c r="C217" t="s">
        <v>44</v>
      </c>
      <c r="D217" t="s">
        <v>16</v>
      </c>
      <c r="E217" t="s">
        <v>17</v>
      </c>
      <c r="F217" t="s">
        <v>22</v>
      </c>
      <c r="G217">
        <v>2</v>
      </c>
      <c r="H217">
        <v>25</v>
      </c>
      <c r="I217">
        <v>50</v>
      </c>
      <c r="J217">
        <f>I217*0.3</f>
        <v>15</v>
      </c>
    </row>
    <row r="218" spans="1:10" x14ac:dyDescent="0.3">
      <c r="A218" t="s">
        <v>47</v>
      </c>
      <c r="B218">
        <v>1220</v>
      </c>
      <c r="C218" t="s">
        <v>44</v>
      </c>
      <c r="D218" t="s">
        <v>16</v>
      </c>
      <c r="E218" t="s">
        <v>17</v>
      </c>
      <c r="F218" t="s">
        <v>30</v>
      </c>
      <c r="G218">
        <v>2</v>
      </c>
      <c r="H218">
        <v>25</v>
      </c>
      <c r="I218">
        <v>50</v>
      </c>
      <c r="J218">
        <f>I218*0.3</f>
        <v>15</v>
      </c>
    </row>
    <row r="219" spans="1:10" x14ac:dyDescent="0.3">
      <c r="A219" t="s">
        <v>82</v>
      </c>
      <c r="B219">
        <v>1081</v>
      </c>
      <c r="C219" t="s">
        <v>44</v>
      </c>
      <c r="D219" t="s">
        <v>16</v>
      </c>
      <c r="E219" t="s">
        <v>25</v>
      </c>
      <c r="F219" t="s">
        <v>18</v>
      </c>
      <c r="G219">
        <v>1</v>
      </c>
      <c r="H219">
        <v>25</v>
      </c>
      <c r="I219">
        <v>25</v>
      </c>
      <c r="J219">
        <f>I219*0.3</f>
        <v>7.5</v>
      </c>
    </row>
    <row r="220" spans="1:10" x14ac:dyDescent="0.3">
      <c r="A220" t="s">
        <v>88</v>
      </c>
      <c r="B220">
        <v>1094</v>
      </c>
      <c r="C220" t="s">
        <v>44</v>
      </c>
      <c r="D220" t="s">
        <v>16</v>
      </c>
      <c r="E220" t="s">
        <v>21</v>
      </c>
      <c r="F220" t="s">
        <v>30</v>
      </c>
      <c r="G220">
        <v>1</v>
      </c>
      <c r="H220">
        <v>25</v>
      </c>
      <c r="I220">
        <v>25</v>
      </c>
      <c r="J220">
        <f>I220*0.3</f>
        <v>7.5</v>
      </c>
    </row>
    <row r="221" spans="1:10" x14ac:dyDescent="0.3">
      <c r="A221" t="s">
        <v>52</v>
      </c>
      <c r="B221">
        <v>1134</v>
      </c>
      <c r="C221" t="s">
        <v>44</v>
      </c>
      <c r="D221" t="s">
        <v>16</v>
      </c>
      <c r="E221" t="s">
        <v>25</v>
      </c>
      <c r="F221" t="s">
        <v>36</v>
      </c>
      <c r="G221">
        <v>1</v>
      </c>
      <c r="H221">
        <v>25</v>
      </c>
      <c r="I221">
        <v>25</v>
      </c>
      <c r="J221">
        <f>I221*0.3</f>
        <v>7.5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Retail_Sales_Data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emad</cp:lastModifiedBy>
  <dcterms:created xsi:type="dcterms:W3CDTF">2026-03-13T03:52:56Z</dcterms:created>
  <dcterms:modified xsi:type="dcterms:W3CDTF">2026-03-29T02:18:46Z</dcterms:modified>
</cp:coreProperties>
</file>